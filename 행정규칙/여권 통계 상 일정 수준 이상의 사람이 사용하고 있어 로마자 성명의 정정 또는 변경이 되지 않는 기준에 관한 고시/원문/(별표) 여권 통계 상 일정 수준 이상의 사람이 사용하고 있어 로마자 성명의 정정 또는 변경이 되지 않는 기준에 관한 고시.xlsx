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37"/>
  <workbookPr/>
  <mc:AlternateContent xmlns:mc="http://schemas.openxmlformats.org/markup-compatibility/2006">
    <mc:Choice Requires="x15">
      <x15ac:absPath xmlns:x15ac="http://schemas.microsoft.com/office/spreadsheetml/2010/11/ac" url="C:\Users\USER\Desktop\로마자 개선\로마자고시 대행기관 공지\"/>
    </mc:Choice>
  </mc:AlternateContent>
  <xr:revisionPtr revIDLastSave="0" documentId="8_{AA39F29D-5CC8-4ACB-A6BC-7444D0AE8AE1}" xr6:coauthVersionLast="36" xr6:coauthVersionMax="36" xr10:uidLastSave="{00000000-0000-0000-0000-000000000000}"/>
  <bookViews>
    <workbookView xWindow="0" yWindow="0" windowWidth="15360" windowHeight="7500" activeTab="1" xr2:uid="{00000000-000D-0000-FFFF-FFFF00000000}"/>
  </bookViews>
  <sheets>
    <sheet name="성 통계 상 제한 표기 예시" sheetId="3" r:id="rId1"/>
    <sheet name="이름 통계 상 제한 표기 예시" sheetId="4" r:id="rId2"/>
  </sheets>
  <calcPr calcId="179021" iterateDelta="0"/>
</workbook>
</file>

<file path=xl/calcChain.xml><?xml version="1.0" encoding="utf-8"?>
<calcChain xmlns="http://schemas.openxmlformats.org/spreadsheetml/2006/main">
  <c r="O24" i="4" l="1"/>
  <c r="I110" i="4"/>
  <c r="I109" i="4"/>
  <c r="L24" i="4"/>
</calcChain>
</file>

<file path=xl/sharedStrings.xml><?xml version="1.0" encoding="utf-8"?>
<sst xmlns="http://schemas.openxmlformats.org/spreadsheetml/2006/main" count="774" uniqueCount="409">
  <si>
    <t>비율</t>
  </si>
  <si>
    <t>KIM</t>
  </si>
  <si>
    <t>LEE</t>
  </si>
  <si>
    <t>PARK</t>
  </si>
  <si>
    <t>CHOI</t>
  </si>
  <si>
    <t>JUNG</t>
  </si>
  <si>
    <t>GIM</t>
  </si>
  <si>
    <t>YI</t>
  </si>
  <si>
    <t>CHOE</t>
  </si>
  <si>
    <t>CHUNG</t>
  </si>
  <si>
    <t>JOUNG</t>
  </si>
  <si>
    <t>BACK</t>
  </si>
  <si>
    <t>CHO</t>
  </si>
  <si>
    <t>LIM</t>
  </si>
  <si>
    <t>KANG</t>
  </si>
  <si>
    <t>YOON</t>
  </si>
  <si>
    <t>JANG</t>
  </si>
  <si>
    <t>JO</t>
  </si>
  <si>
    <t>YUN</t>
  </si>
  <si>
    <t>CHANG</t>
  </si>
  <si>
    <t>IM</t>
  </si>
  <si>
    <t>YOUN</t>
  </si>
  <si>
    <t>YIM</t>
  </si>
  <si>
    <t>YOO</t>
  </si>
  <si>
    <t>YOU</t>
  </si>
  <si>
    <t>OH</t>
  </si>
  <si>
    <t>SHIN</t>
  </si>
  <si>
    <t>SEO</t>
  </si>
  <si>
    <t>KWON</t>
  </si>
  <si>
    <t>SIN</t>
  </si>
  <si>
    <t>SUH</t>
  </si>
  <si>
    <t>GWON</t>
  </si>
  <si>
    <t>KWEON</t>
  </si>
  <si>
    <t>(강)</t>
    <phoneticPr fontId="2" type="noConversion"/>
  </si>
  <si>
    <t>(권)</t>
    <phoneticPr fontId="2" type="noConversion"/>
  </si>
  <si>
    <t>(김)</t>
    <phoneticPr fontId="2" type="noConversion"/>
  </si>
  <si>
    <t>(박)</t>
    <phoneticPr fontId="2" type="noConversion"/>
  </si>
  <si>
    <t>(서)</t>
    <phoneticPr fontId="2" type="noConversion"/>
  </si>
  <si>
    <t>(오)</t>
    <phoneticPr fontId="2" type="noConversion"/>
  </si>
  <si>
    <t>(임)</t>
    <phoneticPr fontId="2" type="noConversion"/>
  </si>
  <si>
    <t>(장)</t>
    <phoneticPr fontId="2" type="noConversion"/>
  </si>
  <si>
    <t>(조)</t>
    <phoneticPr fontId="2" type="noConversion"/>
  </si>
  <si>
    <t>(최)</t>
    <phoneticPr fontId="2" type="noConversion"/>
  </si>
  <si>
    <t>BAE</t>
  </si>
  <si>
    <t>(배)</t>
    <phoneticPr fontId="2" type="noConversion"/>
  </si>
  <si>
    <t>BAEK</t>
  </si>
  <si>
    <t>BAIK</t>
  </si>
  <si>
    <t>(백)</t>
    <phoneticPr fontId="2" type="noConversion"/>
  </si>
  <si>
    <t>SONG</t>
  </si>
  <si>
    <t>(송)</t>
    <phoneticPr fontId="2" type="noConversion"/>
  </si>
  <si>
    <t>YU</t>
  </si>
  <si>
    <t>(유)</t>
    <phoneticPr fontId="2" type="noConversion"/>
  </si>
  <si>
    <t>(윤)</t>
    <phoneticPr fontId="2" type="noConversion"/>
  </si>
  <si>
    <t>(이)</t>
    <phoneticPr fontId="2" type="noConversion"/>
  </si>
  <si>
    <t>JEON</t>
  </si>
  <si>
    <t>JUN</t>
  </si>
  <si>
    <t>CHUN</t>
  </si>
  <si>
    <t>(전)</t>
    <phoneticPr fontId="2" type="noConversion"/>
  </si>
  <si>
    <t>JEONG</t>
  </si>
  <si>
    <t>(정)</t>
    <phoneticPr fontId="2" type="noConversion"/>
  </si>
  <si>
    <t>HAN</t>
  </si>
  <si>
    <t>(한)</t>
    <phoneticPr fontId="2" type="noConversion"/>
  </si>
  <si>
    <t>(신)</t>
    <phoneticPr fontId="2" type="noConversion"/>
  </si>
  <si>
    <t>*SIN은 부정적 의미로 변경 가능</t>
    <phoneticPr fontId="1" type="noConversion"/>
  </si>
  <si>
    <t>비율</t>
    <phoneticPr fontId="2" type="noConversion"/>
  </si>
  <si>
    <t>GEON</t>
  </si>
  <si>
    <t>KYUNG</t>
  </si>
  <si>
    <t>KWAN</t>
  </si>
  <si>
    <t>KWANG</t>
  </si>
  <si>
    <t>GU</t>
  </si>
  <si>
    <t>GUN</t>
  </si>
  <si>
    <t>KYOUNG</t>
  </si>
  <si>
    <t>GWAN</t>
  </si>
  <si>
    <t>GWANG</t>
  </si>
  <si>
    <t>GOO</t>
  </si>
  <si>
    <t>KUN</t>
  </si>
  <si>
    <t>GYEONG</t>
  </si>
  <si>
    <t>KOO</t>
  </si>
  <si>
    <t>KEON</t>
  </si>
  <si>
    <t>KYEONG</t>
  </si>
  <si>
    <t>KU</t>
  </si>
  <si>
    <t>KYONG</t>
  </si>
  <si>
    <t>GYUNG</t>
  </si>
  <si>
    <t>(국)</t>
    <phoneticPr fontId="10" type="noConversion"/>
  </si>
  <si>
    <t>(균)</t>
    <phoneticPr fontId="10" type="noConversion"/>
  </si>
  <si>
    <t>(근)</t>
    <phoneticPr fontId="10" type="noConversion"/>
  </si>
  <si>
    <t>(금)</t>
    <phoneticPr fontId="10" type="noConversion"/>
  </si>
  <si>
    <t>GEUM</t>
  </si>
  <si>
    <t>KEUM</t>
  </si>
  <si>
    <t>KUM</t>
  </si>
  <si>
    <t>GUM</t>
  </si>
  <si>
    <t>(기)</t>
    <phoneticPr fontId="10" type="noConversion"/>
  </si>
  <si>
    <t>(길)</t>
    <phoneticPr fontId="10" type="noConversion"/>
  </si>
  <si>
    <t>(나)</t>
    <phoneticPr fontId="10" type="noConversion"/>
  </si>
  <si>
    <t>(덕)</t>
    <phoneticPr fontId="10" type="noConversion"/>
  </si>
  <si>
    <t>(도)</t>
    <phoneticPr fontId="10" type="noConversion"/>
  </si>
  <si>
    <t>(동)</t>
    <phoneticPr fontId="10" type="noConversion"/>
  </si>
  <si>
    <t>(두)</t>
    <phoneticPr fontId="10" type="noConversion"/>
  </si>
  <si>
    <t>(란)</t>
    <phoneticPr fontId="10" type="noConversion"/>
  </si>
  <si>
    <t>DONG</t>
  </si>
  <si>
    <t>DOO</t>
  </si>
  <si>
    <t>RAN</t>
  </si>
  <si>
    <t>DU</t>
  </si>
  <si>
    <t>LAN</t>
  </si>
  <si>
    <t>(례)</t>
    <phoneticPr fontId="10" type="noConversion"/>
  </si>
  <si>
    <t>(만)</t>
    <phoneticPr fontId="10" type="noConversion"/>
  </si>
  <si>
    <t>(명)</t>
    <phoneticPr fontId="10" type="noConversion"/>
  </si>
  <si>
    <t>(문)</t>
    <phoneticPr fontId="10" type="noConversion"/>
  </si>
  <si>
    <t>(미)</t>
    <phoneticPr fontId="10" type="noConversion"/>
  </si>
  <si>
    <t>(민)</t>
    <phoneticPr fontId="10" type="noConversion"/>
  </si>
  <si>
    <t>(범)</t>
    <phoneticPr fontId="10" type="noConversion"/>
  </si>
  <si>
    <t>(병)</t>
    <phoneticPr fontId="10" type="noConversion"/>
  </si>
  <si>
    <t>(보)</t>
    <phoneticPr fontId="10" type="noConversion"/>
  </si>
  <si>
    <t>(복)</t>
    <phoneticPr fontId="10" type="noConversion"/>
  </si>
  <si>
    <t>(봉)</t>
    <phoneticPr fontId="10" type="noConversion"/>
  </si>
  <si>
    <t>(분)</t>
    <phoneticPr fontId="10" type="noConversion"/>
  </si>
  <si>
    <t>(상)</t>
    <phoneticPr fontId="10" type="noConversion"/>
  </si>
  <si>
    <t>(서)</t>
    <phoneticPr fontId="10" type="noConversion"/>
  </si>
  <si>
    <t>(석)</t>
    <phoneticPr fontId="10" type="noConversion"/>
  </si>
  <si>
    <t>(선)</t>
    <phoneticPr fontId="10" type="noConversion"/>
  </si>
  <si>
    <t>(섭)</t>
    <phoneticPr fontId="10" type="noConversion"/>
  </si>
  <si>
    <t>(성)</t>
    <phoneticPr fontId="10" type="noConversion"/>
  </si>
  <si>
    <t>(세)</t>
    <phoneticPr fontId="10" type="noConversion"/>
  </si>
  <si>
    <t>(소)</t>
    <phoneticPr fontId="10" type="noConversion"/>
  </si>
  <si>
    <t>(수)</t>
    <phoneticPr fontId="2" type="noConversion"/>
  </si>
  <si>
    <t>(숙)</t>
    <phoneticPr fontId="10" type="noConversion"/>
  </si>
  <si>
    <t>(순)</t>
    <phoneticPr fontId="2" type="noConversion"/>
  </si>
  <si>
    <t>(승)</t>
    <phoneticPr fontId="10" type="noConversion"/>
  </si>
  <si>
    <t>(식)</t>
    <phoneticPr fontId="10" type="noConversion"/>
  </si>
  <si>
    <t>(신)</t>
    <phoneticPr fontId="10" type="noConversion"/>
  </si>
  <si>
    <t>(아)</t>
    <phoneticPr fontId="10" type="noConversion"/>
  </si>
  <si>
    <t>(애)</t>
    <phoneticPr fontId="10" type="noConversion"/>
  </si>
  <si>
    <t>(양)</t>
    <phoneticPr fontId="10" type="noConversion"/>
  </si>
  <si>
    <t>(연)</t>
    <phoneticPr fontId="10" type="noConversion"/>
  </si>
  <si>
    <t>(열)</t>
    <phoneticPr fontId="10" type="noConversion"/>
  </si>
  <si>
    <t>(영)</t>
    <phoneticPr fontId="2" type="noConversion"/>
  </si>
  <si>
    <t>(예)</t>
    <phoneticPr fontId="10" type="noConversion"/>
  </si>
  <si>
    <t>(오)</t>
    <phoneticPr fontId="10" type="noConversion"/>
  </si>
  <si>
    <t>(옥)</t>
    <phoneticPr fontId="10" type="noConversion"/>
  </si>
  <si>
    <t>(완)</t>
    <phoneticPr fontId="10" type="noConversion"/>
  </si>
  <si>
    <t>(용)</t>
    <phoneticPr fontId="10" type="noConversion"/>
  </si>
  <si>
    <t>(우)</t>
    <phoneticPr fontId="10" type="noConversion"/>
  </si>
  <si>
    <t>(욱)</t>
    <phoneticPr fontId="10" type="noConversion"/>
  </si>
  <si>
    <t>(운)</t>
    <phoneticPr fontId="10" type="noConversion"/>
  </si>
  <si>
    <t>(웅)</t>
    <phoneticPr fontId="10" type="noConversion"/>
  </si>
  <si>
    <t>(원)</t>
    <phoneticPr fontId="10" type="noConversion"/>
  </si>
  <si>
    <t>(유)</t>
    <phoneticPr fontId="10" type="noConversion"/>
  </si>
  <si>
    <t>(윤)</t>
    <phoneticPr fontId="10" type="noConversion"/>
  </si>
  <si>
    <t>(은)</t>
    <phoneticPr fontId="10" type="noConversion"/>
  </si>
  <si>
    <t>(이)</t>
    <phoneticPr fontId="10" type="noConversion"/>
  </si>
  <si>
    <t>(인)</t>
    <phoneticPr fontId="10" type="noConversion"/>
  </si>
  <si>
    <t>(일)</t>
    <phoneticPr fontId="10" type="noConversion"/>
  </si>
  <si>
    <t>(임)</t>
    <phoneticPr fontId="10" type="noConversion"/>
  </si>
  <si>
    <t>(자)</t>
    <phoneticPr fontId="10" type="noConversion"/>
  </si>
  <si>
    <t>(재)</t>
    <phoneticPr fontId="10" type="noConversion"/>
  </si>
  <si>
    <t>(정)</t>
    <phoneticPr fontId="2" type="noConversion"/>
  </si>
  <si>
    <t>(종)</t>
    <phoneticPr fontId="10" type="noConversion"/>
  </si>
  <si>
    <t>(준)</t>
    <phoneticPr fontId="10" type="noConversion"/>
  </si>
  <si>
    <t>(중)</t>
    <phoneticPr fontId="10" type="noConversion"/>
  </si>
  <si>
    <t>(지)</t>
    <phoneticPr fontId="10" type="noConversion"/>
  </si>
  <si>
    <t>(진)</t>
    <phoneticPr fontId="2" type="noConversion"/>
  </si>
  <si>
    <t>(찬)</t>
    <phoneticPr fontId="10" type="noConversion"/>
  </si>
  <si>
    <t>(창)</t>
    <phoneticPr fontId="10" type="noConversion"/>
  </si>
  <si>
    <t>(철)</t>
    <phoneticPr fontId="10" type="noConversion"/>
  </si>
  <si>
    <t>(춘)</t>
    <phoneticPr fontId="10" type="noConversion"/>
  </si>
  <si>
    <t>(태)</t>
    <phoneticPr fontId="10" type="noConversion"/>
  </si>
  <si>
    <t>(택)</t>
    <phoneticPr fontId="10" type="noConversion"/>
  </si>
  <si>
    <t>(하)</t>
    <phoneticPr fontId="10" type="noConversion"/>
  </si>
  <si>
    <t>(학)</t>
    <phoneticPr fontId="10" type="noConversion"/>
  </si>
  <si>
    <t>(한)</t>
    <phoneticPr fontId="10" type="noConversion"/>
  </si>
  <si>
    <t>(해)</t>
    <phoneticPr fontId="10" type="noConversion"/>
  </si>
  <si>
    <t>(헌)</t>
    <phoneticPr fontId="10" type="noConversion"/>
  </si>
  <si>
    <t>(혁)</t>
    <phoneticPr fontId="10" type="noConversion"/>
  </si>
  <si>
    <t>(현)</t>
    <phoneticPr fontId="2" type="noConversion"/>
  </si>
  <si>
    <t>(형)</t>
    <phoneticPr fontId="10" type="noConversion"/>
  </si>
  <si>
    <t>(혜)</t>
    <phoneticPr fontId="10" type="noConversion"/>
  </si>
  <si>
    <t>(호)</t>
    <phoneticPr fontId="10" type="noConversion"/>
  </si>
  <si>
    <t>(홍)</t>
    <phoneticPr fontId="10" type="noConversion"/>
  </si>
  <si>
    <t>(화)</t>
    <phoneticPr fontId="10" type="noConversion"/>
  </si>
  <si>
    <t>(환)</t>
    <phoneticPr fontId="10" type="noConversion"/>
  </si>
  <si>
    <t>(효)</t>
    <phoneticPr fontId="10" type="noConversion"/>
  </si>
  <si>
    <t>(훈)</t>
    <phoneticPr fontId="10" type="noConversion"/>
  </si>
  <si>
    <t>(희)</t>
    <phoneticPr fontId="2" type="noConversion"/>
  </si>
  <si>
    <t>*DUCK은 부정적 의미로 변경 가능</t>
    <phoneticPr fontId="1" type="noConversion"/>
  </si>
  <si>
    <t>*SIN은 부정적 의미로 변경 가능</t>
    <phoneticPr fontId="1" type="noConversion"/>
  </si>
  <si>
    <t>*ILL은 부정적 의미로 변경 가능</t>
    <phoneticPr fontId="1" type="noConversion"/>
  </si>
  <si>
    <t>사용자 수</t>
  </si>
  <si>
    <t>합계</t>
  </si>
  <si>
    <t>사용자 수</t>
    <phoneticPr fontId="1" type="noConversion"/>
  </si>
  <si>
    <t>(건)</t>
    <phoneticPr fontId="10" type="noConversion"/>
  </si>
  <si>
    <t>사용자 수</t>
    <phoneticPr fontId="1" type="noConversion"/>
  </si>
  <si>
    <t>(경)</t>
    <phoneticPr fontId="10" type="noConversion"/>
  </si>
  <si>
    <t>비율</t>
    <phoneticPr fontId="2" type="noConversion"/>
  </si>
  <si>
    <t>(관)</t>
    <phoneticPr fontId="10" type="noConversion"/>
  </si>
  <si>
    <t>사용자 수</t>
    <phoneticPr fontId="1" type="noConversion"/>
  </si>
  <si>
    <t>(구)</t>
    <phoneticPr fontId="10" type="noConversion"/>
  </si>
  <si>
    <t>(광)</t>
    <phoneticPr fontId="10" type="noConversion"/>
  </si>
  <si>
    <t>사용자 수</t>
    <phoneticPr fontId="1" type="noConversion"/>
  </si>
  <si>
    <t>비율</t>
    <phoneticPr fontId="2" type="noConversion"/>
  </si>
  <si>
    <t xml:space="preserve"> KOOK </t>
  </si>
  <si>
    <t xml:space="preserve"> GUK </t>
  </si>
  <si>
    <t xml:space="preserve"> KYU </t>
  </si>
  <si>
    <t xml:space="preserve"> GYU </t>
  </si>
  <si>
    <t xml:space="preserve"> KYOO </t>
  </si>
  <si>
    <t>(규)</t>
    <phoneticPr fontId="10" type="noConversion"/>
  </si>
  <si>
    <t xml:space="preserve"> KYUN </t>
  </si>
  <si>
    <t xml:space="preserve"> GYUN </t>
  </si>
  <si>
    <t xml:space="preserve"> KUN </t>
  </si>
  <si>
    <t xml:space="preserve"> GEUN </t>
  </si>
  <si>
    <t xml:space="preserve"> KEUN </t>
  </si>
  <si>
    <t xml:space="preserve"> GUN </t>
  </si>
  <si>
    <t xml:space="preserve"> KI </t>
  </si>
  <si>
    <t xml:space="preserve"> GI </t>
  </si>
  <si>
    <t xml:space="preserve"> KEE </t>
  </si>
  <si>
    <t xml:space="preserve"> GIL </t>
  </si>
  <si>
    <t xml:space="preserve"> KIL </t>
  </si>
  <si>
    <t xml:space="preserve"> NA </t>
  </si>
  <si>
    <t xml:space="preserve"> NAH </t>
  </si>
  <si>
    <t xml:space="preserve"> NAM </t>
  </si>
  <si>
    <t xml:space="preserve"> DAE </t>
  </si>
  <si>
    <t xml:space="preserve"> DEOK </t>
  </si>
  <si>
    <t xml:space="preserve"> DUK </t>
  </si>
  <si>
    <t xml:space="preserve"> DUCK </t>
  </si>
  <si>
    <t xml:space="preserve"> DO </t>
  </si>
  <si>
    <t xml:space="preserve"> DOH </t>
  </si>
  <si>
    <t>*GUN은 부정적 의미로 변경 가능</t>
    <phoneticPr fontId="1" type="noConversion"/>
  </si>
  <si>
    <t>(남)</t>
    <phoneticPr fontId="10" type="noConversion"/>
  </si>
  <si>
    <t>(대)</t>
    <phoneticPr fontId="10" type="noConversion"/>
  </si>
  <si>
    <t xml:space="preserve"> RYE </t>
  </si>
  <si>
    <t xml:space="preserve"> MAN </t>
  </si>
  <si>
    <t xml:space="preserve"> MYUNG </t>
  </si>
  <si>
    <t xml:space="preserve"> MYEONG </t>
  </si>
  <si>
    <t xml:space="preserve"> MYOUNG </t>
  </si>
  <si>
    <t xml:space="preserve"> MYONG </t>
  </si>
  <si>
    <t xml:space="preserve"> MOON </t>
  </si>
  <si>
    <t xml:space="preserve"> MUN </t>
  </si>
  <si>
    <t xml:space="preserve"> MI </t>
  </si>
  <si>
    <t xml:space="preserve"> MEE </t>
  </si>
  <si>
    <t xml:space="preserve"> ME </t>
  </si>
  <si>
    <t xml:space="preserve"> MIN </t>
  </si>
  <si>
    <t xml:space="preserve"> BEOM </t>
  </si>
  <si>
    <t xml:space="preserve"> BUM </t>
  </si>
  <si>
    <t xml:space="preserve"> BYUNG </t>
  </si>
  <si>
    <t xml:space="preserve"> BYEONG </t>
  </si>
  <si>
    <t xml:space="preserve"> BYOUNG </t>
  </si>
  <si>
    <t xml:space="preserve"> BYONG </t>
  </si>
  <si>
    <t xml:space="preserve"> BO </t>
  </si>
  <si>
    <t xml:space="preserve"> BOK </t>
  </si>
  <si>
    <t xml:space="preserve"> BOG </t>
  </si>
  <si>
    <t xml:space="preserve"> BONG </t>
  </si>
  <si>
    <t xml:space="preserve"> BUN </t>
  </si>
  <si>
    <t xml:space="preserve"> BOON </t>
  </si>
  <si>
    <t xml:space="preserve"> SANG </t>
  </si>
  <si>
    <t xml:space="preserve"> SEO </t>
  </si>
  <si>
    <t xml:space="preserve"> SEOK </t>
  </si>
  <si>
    <t xml:space="preserve"> SUK </t>
  </si>
  <si>
    <t xml:space="preserve"> SEOG </t>
  </si>
  <si>
    <t xml:space="preserve"> SUCK </t>
  </si>
  <si>
    <t xml:space="preserve"> SUN </t>
  </si>
  <si>
    <t xml:space="preserve"> SEON </t>
  </si>
  <si>
    <t xml:space="preserve"> SUNG </t>
  </si>
  <si>
    <t xml:space="preserve"> SEONG </t>
  </si>
  <si>
    <t xml:space="preserve"> SOUNG </t>
  </si>
  <si>
    <t xml:space="preserve"> SO </t>
  </si>
  <si>
    <t xml:space="preserve"> SU </t>
  </si>
  <si>
    <t xml:space="preserve"> SOO </t>
  </si>
  <si>
    <t xml:space="preserve"> SOON </t>
  </si>
  <si>
    <t xml:space="preserve"> SHIN </t>
  </si>
  <si>
    <t xml:space="preserve"> SIN </t>
  </si>
  <si>
    <t xml:space="preserve"> AE </t>
  </si>
  <si>
    <t xml:space="preserve"> YANG </t>
  </si>
  <si>
    <t xml:space="preserve"> YEON </t>
  </si>
  <si>
    <t xml:space="preserve"> YOUN </t>
  </si>
  <si>
    <t xml:space="preserve"> YUN </t>
  </si>
  <si>
    <t xml:space="preserve"> YEUN </t>
  </si>
  <si>
    <t xml:space="preserve"> YON </t>
  </si>
  <si>
    <t xml:space="preserve"> YOUNG </t>
  </si>
  <si>
    <t xml:space="preserve"> YEONG </t>
  </si>
  <si>
    <t xml:space="preserve"> YUNG </t>
  </si>
  <si>
    <t xml:space="preserve"> YONG </t>
  </si>
  <si>
    <t xml:space="preserve"> OH </t>
  </si>
  <si>
    <t xml:space="preserve"> O </t>
  </si>
  <si>
    <t xml:space="preserve"> OK </t>
  </si>
  <si>
    <t xml:space="preserve"> OCK </t>
  </si>
  <si>
    <t xml:space="preserve"> OG </t>
  </si>
  <si>
    <t xml:space="preserve"> WAN </t>
  </si>
  <si>
    <t xml:space="preserve"> WOO </t>
  </si>
  <si>
    <t xml:space="preserve"> U </t>
  </si>
  <si>
    <t xml:space="preserve"> WON </t>
  </si>
  <si>
    <t xml:space="preserve"> WEON </t>
  </si>
  <si>
    <t xml:space="preserve"> YOON </t>
  </si>
  <si>
    <t xml:space="preserve"> EUN </t>
  </si>
  <si>
    <t xml:space="preserve"> IN </t>
  </si>
  <si>
    <t xml:space="preserve"> IL </t>
  </si>
  <si>
    <t xml:space="preserve"> ILL </t>
  </si>
  <si>
    <t xml:space="preserve"> JA </t>
  </si>
  <si>
    <t xml:space="preserve"> JAE </t>
  </si>
  <si>
    <t xml:space="preserve"> JAI </t>
  </si>
  <si>
    <t xml:space="preserve"> JEA </t>
  </si>
  <si>
    <t xml:space="preserve"> JUNG </t>
  </si>
  <si>
    <t xml:space="preserve"> JEONG </t>
  </si>
  <si>
    <t xml:space="preserve"> JOUNG </t>
  </si>
  <si>
    <t xml:space="preserve"> JEUNG </t>
  </si>
  <si>
    <t xml:space="preserve"> JONG </t>
  </si>
  <si>
    <t xml:space="preserve"> CHONG </t>
  </si>
  <si>
    <t xml:space="preserve"> JU </t>
  </si>
  <si>
    <t xml:space="preserve"> JOO </t>
  </si>
  <si>
    <t xml:space="preserve"> JUN </t>
  </si>
  <si>
    <t xml:space="preserve"> JOON </t>
  </si>
  <si>
    <t xml:space="preserve"> JUNE </t>
  </si>
  <si>
    <t xml:space="preserve"> JOONG </t>
  </si>
  <si>
    <t xml:space="preserve"> JIN </t>
  </si>
  <si>
    <t xml:space="preserve"> CHAN </t>
  </si>
  <si>
    <t xml:space="preserve"> CHANG </t>
  </si>
  <si>
    <t xml:space="preserve"> CHUN </t>
  </si>
  <si>
    <t xml:space="preserve"> HA </t>
  </si>
  <si>
    <t xml:space="preserve"> HAK </t>
  </si>
  <si>
    <t xml:space="preserve"> HAN </t>
  </si>
  <si>
    <t xml:space="preserve"> HAE </t>
  </si>
  <si>
    <t xml:space="preserve"> HEA </t>
  </si>
  <si>
    <t xml:space="preserve"> HEON </t>
  </si>
  <si>
    <t xml:space="preserve"> HUN </t>
  </si>
  <si>
    <t xml:space="preserve"> HYEOK </t>
  </si>
  <si>
    <t xml:space="preserve"> HYUK </t>
  </si>
  <si>
    <t xml:space="preserve"> HYUCK </t>
  </si>
  <si>
    <t xml:space="preserve"> HYE </t>
  </si>
  <si>
    <t xml:space="preserve"> HO </t>
  </si>
  <si>
    <t xml:space="preserve"> HONG </t>
  </si>
  <si>
    <t xml:space="preserve"> HWA </t>
  </si>
  <si>
    <t xml:space="preserve"> WHA </t>
  </si>
  <si>
    <t xml:space="preserve"> HWAN </t>
  </si>
  <si>
    <t xml:space="preserve"> WHAN </t>
  </si>
  <si>
    <t xml:space="preserve"> HYO </t>
  </si>
  <si>
    <t xml:space="preserve"> HOON </t>
  </si>
  <si>
    <t xml:space="preserve"> HEE </t>
  </si>
  <si>
    <t xml:space="preserve"> HUI </t>
  </si>
  <si>
    <t xml:space="preserve"> HI </t>
  </si>
  <si>
    <t xml:space="preserve"> HEUI </t>
  </si>
  <si>
    <t>(주)</t>
    <phoneticPr fontId="10" type="noConversion"/>
  </si>
  <si>
    <t>BAK</t>
  </si>
  <si>
    <t>PAK</t>
  </si>
  <si>
    <t>A</t>
  </si>
  <si>
    <t>AH</t>
  </si>
  <si>
    <t>YEOL</t>
  </si>
  <si>
    <t>YUL</t>
  </si>
  <si>
    <t>YOUL</t>
  </si>
  <si>
    <t>YE</t>
  </si>
  <si>
    <t>YEA</t>
  </si>
  <si>
    <t>WOOK</t>
  </si>
  <si>
    <t>UK</t>
  </si>
  <si>
    <t>WOONG</t>
  </si>
  <si>
    <t>UNG</t>
  </si>
  <si>
    <t>I</t>
  </si>
  <si>
    <t>E</t>
  </si>
  <si>
    <t>EI</t>
  </si>
  <si>
    <t>YEE</t>
  </si>
  <si>
    <t>TAEK</t>
  </si>
  <si>
    <t>합계</t>
    <phoneticPr fontId="1" type="noConversion"/>
  </si>
  <si>
    <t>RYU</t>
  </si>
  <si>
    <t>CHEONG</t>
  </si>
  <si>
    <t>KUK</t>
    <phoneticPr fontId="1" type="noConversion"/>
  </si>
  <si>
    <t>*BUM은 부정적 의미로 변경 가능</t>
  </si>
  <si>
    <t>SEOP</t>
  </si>
  <si>
    <t>SUB</t>
  </si>
  <si>
    <t>SEOB</t>
  </si>
  <si>
    <t>SUP</t>
  </si>
  <si>
    <t>SE</t>
  </si>
  <si>
    <t>SEI</t>
  </si>
  <si>
    <t>SAE</t>
  </si>
  <si>
    <t>SEA</t>
  </si>
  <si>
    <t>SUK</t>
  </si>
  <si>
    <t>SOOK</t>
  </si>
  <si>
    <t>SUG</t>
  </si>
  <si>
    <t>SEUNG</t>
  </si>
  <si>
    <t>SUNG</t>
  </si>
  <si>
    <t>SEOUNG</t>
  </si>
  <si>
    <t>SIK</t>
  </si>
  <si>
    <t>SHIK</t>
  </si>
  <si>
    <t>SIG</t>
  </si>
  <si>
    <t>YEH</t>
  </si>
  <si>
    <t>WOON</t>
  </si>
  <si>
    <t>UN</t>
  </si>
  <si>
    <t>OUN</t>
  </si>
  <si>
    <t>EU</t>
  </si>
  <si>
    <t>IH</t>
  </si>
  <si>
    <t>NIM</t>
  </si>
  <si>
    <t>JI</t>
  </si>
  <si>
    <t>JEE</t>
  </si>
  <si>
    <t>GI</t>
  </si>
  <si>
    <t>CHEOL</t>
  </si>
  <si>
    <t>CHUL</t>
  </si>
  <si>
    <t>CHOL</t>
  </si>
  <si>
    <t>CHOON</t>
  </si>
  <si>
    <t>TAE</t>
  </si>
  <si>
    <t>TAI</t>
  </si>
  <si>
    <t>TEA</t>
  </si>
  <si>
    <t>HYUN</t>
  </si>
  <si>
    <t>HYEON</t>
  </si>
  <si>
    <t>HYOUN</t>
  </si>
  <si>
    <t>HYON</t>
  </si>
  <si>
    <t>HYUNG</t>
  </si>
  <si>
    <t>HYEONG</t>
  </si>
  <si>
    <t>HYOUNG</t>
  </si>
  <si>
    <t>SOH</t>
    <phoneticPr fontId="1" type="noConversion"/>
  </si>
  <si>
    <r>
      <t>성(</t>
    </r>
    <r>
      <rPr>
        <u val="double"/>
        <sz val="23"/>
        <color theme="1"/>
        <rFont val="Gulim"/>
        <family val="1"/>
        <charset val="129"/>
      </rPr>
      <t>姓</t>
    </r>
    <r>
      <rPr>
        <u val="double"/>
        <sz val="23"/>
        <color theme="1"/>
        <rFont val="Calibri"/>
        <family val="1"/>
      </rPr>
      <t xml:space="preserve">) </t>
    </r>
    <r>
      <rPr>
        <u val="double"/>
        <sz val="23"/>
        <color theme="1"/>
        <rFont val="휴먼둥근헤드라인"/>
        <family val="1"/>
        <charset val="129"/>
      </rPr>
      <t>통계상 정정 또는 변경이 제한되는 로마자 표기 예시(24.10.31.)</t>
    </r>
    <phoneticPr fontId="1" type="noConversion"/>
  </si>
  <si>
    <t>이름 통계상 정정 또는 변경이 제한되는 로마자 표기 예시(24.10.31.)</t>
    <phoneticPr fontId="1" type="noConversion"/>
  </si>
  <si>
    <t>*GOO는 부정적 의미로 변경 가능</t>
    <phoneticPr fontId="1" type="noConversion"/>
  </si>
  <si>
    <t>*KOOK는 부정적 의미로 변경 가능</t>
    <phoneticPr fontId="1" type="noConversion"/>
  </si>
  <si>
    <t>*SUCK는 부정적 의미로 변경 가능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</si>
</sst>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0.00_ "/>
    <numFmt numFmtId="177" formatCode="#,##0_ "/>
    <numFmt numFmtId="178" formatCode="#,##0_);[Red]\(#,##0\)"/>
  </numFmts>
  <fonts count="2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9"/>
      <color indexed="8"/>
      <name val="맑은 고딕"/>
      <family val="3"/>
      <charset val="129"/>
    </font>
    <font>
      <sz val="28"/>
      <color theme="1"/>
      <name val="휴먼둥근헤드라인"/>
      <family val="1"/>
      <charset val="129"/>
    </font>
    <font>
      <sz val="12"/>
      <color theme="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b/>
      <sz val="9"/>
      <color indexed="8"/>
      <name val="맑은 고딕"/>
      <family val="3"/>
      <charset val="129"/>
    </font>
    <font>
      <b/>
      <sz val="14"/>
      <color rgb="FF002060"/>
      <name val="맑은 고딕"/>
      <family val="3"/>
      <charset val="129"/>
    </font>
    <font>
      <b/>
      <sz val="6"/>
      <color indexed="8"/>
      <name val="맑은 고딕"/>
      <family val="3"/>
      <charset val="129"/>
    </font>
    <font>
      <sz val="8"/>
      <name val="돋움"/>
      <family val="3"/>
      <charset val="129"/>
    </font>
    <font>
      <b/>
      <sz val="9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b/>
      <sz val="9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indexed="12"/>
      <name val="맑은 고딕"/>
      <family val="3"/>
      <charset val="129"/>
      <scheme val="minor"/>
    </font>
    <font>
      <b/>
      <sz val="6"/>
      <name val="맑은 고딕"/>
      <family val="3"/>
      <charset val="129"/>
      <scheme val="minor"/>
    </font>
    <font>
      <b/>
      <sz val="6"/>
      <name val="맑은 고딕"/>
      <family val="3"/>
      <charset val="129"/>
      <scheme val="major"/>
    </font>
    <font>
      <sz val="9"/>
      <color rgb="FFFF0000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굴림체"/>
      <family val="3"/>
      <charset val="129"/>
    </font>
    <font>
      <u val="double"/>
      <sz val="23"/>
      <color theme="1"/>
      <name val="휴먼둥근헤드라인"/>
      <family val="1"/>
      <charset val="129"/>
    </font>
    <font>
      <b/>
      <sz val="9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u val="double"/>
      <sz val="23"/>
      <color theme="1"/>
      <name val="Gulim"/>
      <family val="1"/>
      <charset val="129"/>
    </font>
    <font>
      <u val="double"/>
      <sz val="23"/>
      <color theme="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66FFFF"/>
        <bgColor indexed="64"/>
      </patternFill>
    </fill>
  </fills>
  <borders count="34">
    <border>
      <left/>
      <right/>
      <top/>
      <bottom/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/>
      <top/>
      <bottom/>
      <diagonal/>
    </border>
    <border>
      <left style="thick">
        <color rgb="FF3333FF"/>
      </left>
      <right style="thick">
        <color rgb="FF3333FF"/>
      </right>
      <top style="thick">
        <color rgb="FF3333FF"/>
      </top>
      <bottom/>
      <diagonal/>
    </border>
    <border>
      <left style="thick">
        <color rgb="FF3333FF"/>
      </left>
      <right style="thick">
        <color rgb="FF3333FF"/>
      </right>
      <top/>
      <bottom/>
      <diagonal/>
    </border>
    <border>
      <left style="thick">
        <color rgb="FF3333FF"/>
      </left>
      <right style="thick">
        <color rgb="FF3333FF"/>
      </right>
      <top/>
      <bottom style="thick">
        <color rgb="FF3333FF"/>
      </bottom>
      <diagonal/>
    </border>
    <border>
      <left style="thick">
        <color rgb="FF3333FF"/>
      </left>
      <right/>
      <top style="thick">
        <color rgb="FF3333FF"/>
      </top>
      <bottom/>
      <diagonal/>
    </border>
    <border>
      <left/>
      <right style="thick">
        <color rgb="FF3333FF"/>
      </right>
      <top style="thick">
        <color rgb="FF3333FF"/>
      </top>
      <bottom/>
      <diagonal/>
    </border>
    <border>
      <left style="thick">
        <color rgb="FF3333FF"/>
      </left>
      <right/>
      <top/>
      <bottom/>
      <diagonal/>
    </border>
    <border>
      <left/>
      <right style="thick">
        <color rgb="FF3333FF"/>
      </right>
      <top/>
      <bottom/>
      <diagonal/>
    </border>
    <border>
      <left style="thick">
        <color rgb="FF3333FF"/>
      </left>
      <right/>
      <top/>
      <bottom style="thick">
        <color rgb="FF3333FF"/>
      </bottom>
      <diagonal/>
    </border>
    <border>
      <left/>
      <right style="thick">
        <color rgb="FF3333FF"/>
      </right>
      <top/>
      <bottom style="thick">
        <color rgb="FF3333FF"/>
      </bottom>
      <diagonal/>
    </border>
    <border>
      <left/>
      <right/>
      <top style="thick">
        <color rgb="FF3333FF"/>
      </top>
      <bottom/>
      <diagonal/>
    </border>
    <border>
      <left style="thick">
        <color rgb="FF0000FF"/>
      </left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 style="thick">
        <color rgb="FF0000FF"/>
      </right>
      <top/>
      <bottom/>
      <diagonal/>
    </border>
    <border>
      <left style="thick">
        <color rgb="FF0000FF"/>
      </left>
      <right style="thick">
        <color rgb="FF0000FF"/>
      </right>
      <top/>
      <bottom style="thick">
        <color rgb="FF0000FF"/>
      </bottom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  <border>
      <left/>
      <right/>
      <top style="thick">
        <color rgb="FF0000FF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ck">
        <color rgb="FF0000FF"/>
      </bottom>
      <diagonal/>
    </border>
    <border>
      <left style="thick">
        <color rgb="FF3333FF"/>
      </left>
      <right style="thick">
        <color rgb="FF0000FF"/>
      </right>
      <top style="thick">
        <color rgb="FF3333FF"/>
      </top>
      <bottom/>
      <diagonal/>
    </border>
    <border>
      <left style="thick">
        <color rgb="FF0000FF"/>
      </left>
      <right style="thick">
        <color rgb="FF0000FF"/>
      </right>
      <top style="thick">
        <color rgb="FF3333FF"/>
      </top>
      <bottom/>
      <diagonal/>
    </border>
    <border>
      <left style="thick">
        <color rgb="FF3333FF"/>
      </left>
      <right style="thick">
        <color rgb="FF0000FF"/>
      </right>
      <top/>
      <bottom/>
      <diagonal/>
    </border>
    <border>
      <left/>
      <right/>
      <top/>
      <bottom style="thick">
        <color rgb="FF3333FF"/>
      </bottom>
      <diagonal/>
    </border>
    <border>
      <left style="thick">
        <color rgb="FF0000FF"/>
      </left>
      <right style="thick">
        <color rgb="FF0000FF"/>
      </right>
      <top/>
      <bottom style="thick">
        <color rgb="FF3333FF"/>
      </bottom>
      <diagonal/>
    </border>
    <border>
      <left style="thin">
        <color auto="1"/>
      </left>
      <right/>
      <top/>
      <bottom style="thick">
        <color rgb="FF0000FF"/>
      </bottom>
      <diagonal/>
    </border>
    <border>
      <left/>
      <right style="thin">
        <color auto="1"/>
      </right>
      <top/>
      <bottom style="thick">
        <color rgb="FF0000FF"/>
      </bottom>
      <diagonal/>
    </border>
    <border>
      <left style="thick">
        <color rgb="FF3333FF"/>
      </left>
      <right style="thick">
        <color rgb="FF0000FF"/>
      </right>
      <top/>
      <bottom style="thick">
        <color rgb="FF3333FF"/>
      </bottom>
      <diagonal/>
    </border>
    <border>
      <left style="thin">
        <color auto="1"/>
      </left>
      <right/>
      <top/>
      <bottom style="thick">
        <color rgb="FF3333FF"/>
      </bottom>
      <diagonal/>
    </border>
    <border>
      <left/>
      <right style="thin">
        <color auto="1"/>
      </right>
      <top/>
      <bottom style="thick">
        <color rgb="FF3333FF"/>
      </bottom>
      <diagonal/>
    </border>
  </borders>
  <cellStyleXfs count="5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162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41" fontId="0" fillId="0" borderId="0" xfId="1" applyFont="1">
      <alignment vertical="center"/>
    </xf>
    <xf numFmtId="41" fontId="14" fillId="0" borderId="0" xfId="1" applyFont="1" applyBorder="1" applyAlignment="1">
      <alignment horizontal="center" vertical="center"/>
    </xf>
    <xf numFmtId="41" fontId="15" fillId="0" borderId="0" xfId="1" applyFont="1" applyBorder="1" applyAlignment="1">
      <alignment horizontal="center" vertical="center"/>
    </xf>
    <xf numFmtId="0" fontId="0" fillId="0" borderId="0" xfId="0">
      <alignment vertical="center"/>
    </xf>
    <xf numFmtId="0" fontId="0" fillId="0" borderId="0" xfId="0" applyNumberFormat="1" applyAlignment="1">
      <alignment horizontal="center" vertical="center"/>
    </xf>
    <xf numFmtId="0" fontId="15" fillId="0" borderId="0" xfId="3" applyNumberFormat="1" applyFont="1" applyAlignment="1">
      <alignment horizontal="center" vertical="center"/>
    </xf>
    <xf numFmtId="0" fontId="15" fillId="0" borderId="0" xfId="3" applyNumberFormat="1" applyFont="1" applyBorder="1" applyAlignment="1">
      <alignment horizontal="center" vertical="center" wrapText="1"/>
    </xf>
    <xf numFmtId="0" fontId="15" fillId="0" borderId="0" xfId="3" applyNumberFormat="1" applyFont="1" applyBorder="1" applyAlignment="1">
      <alignment horizontal="center" vertical="center"/>
    </xf>
    <xf numFmtId="0" fontId="14" fillId="0" borderId="0" xfId="3" applyNumberFormat="1" applyFont="1" applyBorder="1" applyAlignment="1">
      <alignment horizontal="center" vertical="center"/>
    </xf>
    <xf numFmtId="0" fontId="14" fillId="0" borderId="0" xfId="3" applyNumberFormat="1" applyFont="1" applyAlignment="1">
      <alignment horizontal="center" vertical="center"/>
    </xf>
    <xf numFmtId="0" fontId="16" fillId="0" borderId="0" xfId="3" applyNumberFormat="1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14" fillId="0" borderId="0" xfId="3" applyFont="1" applyBorder="1" applyAlignment="1">
      <alignment horizontal="right" vertical="center"/>
    </xf>
    <xf numFmtId="0" fontId="15" fillId="0" borderId="0" xfId="3" applyFont="1" applyBorder="1" applyAlignment="1">
      <alignment horizontal="right" vertical="center"/>
    </xf>
    <xf numFmtId="41" fontId="4" fillId="0" borderId="0" xfId="1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NumberFormat="1" applyAlignment="1">
      <alignment vertical="center"/>
    </xf>
    <xf numFmtId="0" fontId="4" fillId="0" borderId="0" xfId="0" applyNumberFormat="1" applyFont="1" applyAlignment="1">
      <alignment vertical="center"/>
    </xf>
    <xf numFmtId="0" fontId="16" fillId="0" borderId="0" xfId="3" applyFont="1" applyBorder="1" applyAlignment="1">
      <alignment horizontal="right" vertical="center"/>
    </xf>
    <xf numFmtId="0" fontId="15" fillId="0" borderId="0" xfId="0" applyFont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177" fontId="7" fillId="2" borderId="4" xfId="0" applyNumberFormat="1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0" fillId="0" borderId="0" xfId="0" applyNumberFormat="1" applyBorder="1" applyAlignment="1">
      <alignment vertical="center"/>
    </xf>
    <xf numFmtId="0" fontId="15" fillId="0" borderId="0" xfId="0" applyNumberFormat="1" applyFont="1" applyBorder="1" applyAlignment="1">
      <alignment vertical="center"/>
    </xf>
    <xf numFmtId="10" fontId="15" fillId="0" borderId="0" xfId="0" applyNumberFormat="1" applyFont="1" applyBorder="1" applyAlignment="1">
      <alignment vertical="center"/>
    </xf>
    <xf numFmtId="41" fontId="3" fillId="3" borderId="6" xfId="1" applyFont="1" applyFill="1" applyBorder="1" applyAlignment="1">
      <alignment horizontal="center" vertical="center"/>
    </xf>
    <xf numFmtId="0" fontId="3" fillId="3" borderId="7" xfId="0" applyNumberFormat="1" applyFont="1" applyFill="1" applyBorder="1" applyAlignment="1">
      <alignment horizontal="center" vertical="center"/>
    </xf>
    <xf numFmtId="9" fontId="3" fillId="2" borderId="9" xfId="0" applyNumberFormat="1" applyFont="1" applyFill="1" applyBorder="1" applyAlignment="1">
      <alignment horizontal="right" vertical="center"/>
    </xf>
    <xf numFmtId="41" fontId="3" fillId="0" borderId="8" xfId="1" applyFont="1" applyFill="1" applyBorder="1" applyAlignment="1">
      <alignment horizontal="center" vertical="center"/>
    </xf>
    <xf numFmtId="41" fontId="3" fillId="0" borderId="10" xfId="1" applyFont="1" applyFill="1" applyBorder="1" applyAlignment="1">
      <alignment horizontal="center" vertical="center"/>
    </xf>
    <xf numFmtId="0" fontId="3" fillId="0" borderId="11" xfId="0" applyNumberFormat="1" applyFont="1" applyFill="1" applyBorder="1" applyAlignment="1">
      <alignment horizontal="right" vertical="center"/>
    </xf>
    <xf numFmtId="10" fontId="15" fillId="0" borderId="9" xfId="0" applyNumberFormat="1" applyFont="1" applyBorder="1">
      <alignment vertical="center"/>
    </xf>
    <xf numFmtId="10" fontId="3" fillId="0" borderId="11" xfId="0" applyNumberFormat="1" applyFont="1" applyFill="1" applyBorder="1" applyAlignment="1">
      <alignment vertical="center"/>
    </xf>
    <xf numFmtId="0" fontId="3" fillId="0" borderId="9" xfId="0" applyNumberFormat="1" applyFont="1" applyFill="1" applyBorder="1" applyAlignment="1">
      <alignment vertical="center"/>
    </xf>
    <xf numFmtId="0" fontId="3" fillId="0" borderId="11" xfId="0" applyNumberFormat="1" applyFont="1" applyFill="1" applyBorder="1" applyAlignment="1">
      <alignment vertical="center"/>
    </xf>
    <xf numFmtId="9" fontId="3" fillId="2" borderId="9" xfId="0" applyNumberFormat="1" applyFont="1" applyFill="1" applyBorder="1" applyAlignment="1">
      <alignment horizontal="center" vertical="center"/>
    </xf>
    <xf numFmtId="41" fontId="0" fillId="0" borderId="0" xfId="1" applyFont="1" applyBorder="1">
      <alignment vertical="center"/>
    </xf>
    <xf numFmtId="10" fontId="3" fillId="0" borderId="9" xfId="0" applyNumberFormat="1" applyFont="1" applyFill="1" applyBorder="1" applyAlignment="1">
      <alignment vertical="center"/>
    </xf>
    <xf numFmtId="0" fontId="11" fillId="3" borderId="13" xfId="3" applyNumberFormat="1" applyFont="1" applyFill="1" applyBorder="1" applyAlignment="1">
      <alignment horizontal="center" vertical="center" wrapText="1"/>
    </xf>
    <xf numFmtId="41" fontId="12" fillId="3" borderId="14" xfId="1" applyFont="1" applyFill="1" applyBorder="1" applyAlignment="1">
      <alignment horizontal="center" vertical="center"/>
    </xf>
    <xf numFmtId="0" fontId="12" fillId="3" borderId="15" xfId="3" applyFont="1" applyFill="1" applyBorder="1" applyAlignment="1">
      <alignment horizontal="center" vertical="center"/>
    </xf>
    <xf numFmtId="0" fontId="11" fillId="2" borderId="16" xfId="3" applyNumberFormat="1" applyFont="1" applyFill="1" applyBorder="1" applyAlignment="1">
      <alignment horizontal="center" vertical="center" wrapText="1"/>
    </xf>
    <xf numFmtId="9" fontId="12" fillId="2" borderId="1" xfId="3" applyNumberFormat="1" applyFont="1" applyFill="1" applyBorder="1" applyAlignment="1">
      <alignment horizontal="right" vertical="center"/>
    </xf>
    <xf numFmtId="0" fontId="11" fillId="0" borderId="16" xfId="1" applyNumberFormat="1" applyFont="1" applyFill="1" applyBorder="1" applyAlignment="1">
      <alignment horizontal="center" vertical="center"/>
    </xf>
    <xf numFmtId="41" fontId="12" fillId="0" borderId="2" xfId="1" applyFont="1" applyFill="1" applyBorder="1" applyAlignment="1">
      <alignment horizontal="center" vertical="center"/>
    </xf>
    <xf numFmtId="10" fontId="12" fillId="0" borderId="1" xfId="2" applyNumberFormat="1" applyFont="1" applyFill="1" applyBorder="1" applyAlignment="1">
      <alignment horizontal="right" vertical="center"/>
    </xf>
    <xf numFmtId="41" fontId="19" fillId="0" borderId="2" xfId="1" applyFont="1" applyFill="1" applyBorder="1" applyAlignment="1">
      <alignment horizontal="center" vertical="center"/>
    </xf>
    <xf numFmtId="10" fontId="19" fillId="0" borderId="1" xfId="2" applyNumberFormat="1" applyFont="1" applyFill="1" applyBorder="1" applyAlignment="1">
      <alignment horizontal="right" vertical="center"/>
    </xf>
    <xf numFmtId="0" fontId="11" fillId="0" borderId="17" xfId="1" applyNumberFormat="1" applyFont="1" applyFill="1" applyBorder="1" applyAlignment="1">
      <alignment horizontal="center" vertical="center"/>
    </xf>
    <xf numFmtId="41" fontId="12" fillId="0" borderId="18" xfId="1" applyFont="1" applyFill="1" applyBorder="1" applyAlignment="1">
      <alignment horizontal="center" vertical="center"/>
    </xf>
    <xf numFmtId="10" fontId="12" fillId="0" borderId="19" xfId="2" applyNumberFormat="1" applyFont="1" applyFill="1" applyBorder="1" applyAlignment="1">
      <alignment horizontal="right" vertical="center"/>
    </xf>
    <xf numFmtId="0" fontId="18" fillId="0" borderId="17" xfId="1" applyNumberFormat="1" applyFont="1" applyFill="1" applyBorder="1" applyAlignment="1">
      <alignment horizontal="center" vertical="center" wrapText="1"/>
    </xf>
    <xf numFmtId="41" fontId="12" fillId="3" borderId="20" xfId="1" applyFont="1" applyFill="1" applyBorder="1" applyAlignment="1">
      <alignment horizontal="center" vertical="center"/>
    </xf>
    <xf numFmtId="0" fontId="12" fillId="3" borderId="20" xfId="3" applyFont="1" applyFill="1" applyBorder="1" applyAlignment="1">
      <alignment horizontal="center" vertical="center"/>
    </xf>
    <xf numFmtId="9" fontId="12" fillId="2" borderId="0" xfId="3" applyNumberFormat="1" applyFont="1" applyFill="1" applyBorder="1" applyAlignment="1">
      <alignment horizontal="right" vertical="center"/>
    </xf>
    <xf numFmtId="41" fontId="12" fillId="2" borderId="21" xfId="1" applyFont="1" applyFill="1" applyBorder="1" applyAlignment="1">
      <alignment horizontal="center" vertical="center"/>
    </xf>
    <xf numFmtId="41" fontId="12" fillId="0" borderId="0" xfId="1" applyFont="1" applyFill="1" applyBorder="1" applyAlignment="1">
      <alignment horizontal="center" vertical="center"/>
    </xf>
    <xf numFmtId="41" fontId="12" fillId="0" borderId="0" xfId="1" applyFont="1" applyFill="1" applyBorder="1" applyAlignment="1">
      <alignment vertical="center"/>
    </xf>
    <xf numFmtId="10" fontId="12" fillId="0" borderId="0" xfId="2" applyNumberFormat="1" applyFont="1" applyFill="1" applyBorder="1" applyAlignment="1">
      <alignment horizontal="right" vertical="center"/>
    </xf>
    <xf numFmtId="41" fontId="12" fillId="0" borderId="23" xfId="1" applyFont="1" applyFill="1" applyBorder="1" applyAlignment="1">
      <alignment horizontal="center" vertical="center"/>
    </xf>
    <xf numFmtId="10" fontId="12" fillId="0" borderId="23" xfId="2" applyNumberFormat="1" applyFont="1" applyFill="1" applyBorder="1" applyAlignment="1">
      <alignment horizontal="right" vertical="center"/>
    </xf>
    <xf numFmtId="0" fontId="13" fillId="3" borderId="13" xfId="3" applyNumberFormat="1" applyFont="1" applyFill="1" applyBorder="1" applyAlignment="1">
      <alignment horizontal="center" vertical="center" wrapText="1"/>
    </xf>
    <xf numFmtId="41" fontId="14" fillId="3" borderId="14" xfId="1" applyFont="1" applyFill="1" applyBorder="1" applyAlignment="1">
      <alignment horizontal="center" vertical="center"/>
    </xf>
    <xf numFmtId="0" fontId="14" fillId="3" borderId="15" xfId="3" applyFont="1" applyFill="1" applyBorder="1" applyAlignment="1">
      <alignment horizontal="center" vertical="center"/>
    </xf>
    <xf numFmtId="41" fontId="12" fillId="0" borderId="2" xfId="1" applyFont="1" applyFill="1" applyBorder="1" applyAlignment="1">
      <alignment vertical="center"/>
    </xf>
    <xf numFmtId="0" fontId="17" fillId="0" borderId="17" xfId="1" applyNumberFormat="1" applyFont="1" applyFill="1" applyBorder="1" applyAlignment="1">
      <alignment horizontal="center" vertical="center" wrapText="1"/>
    </xf>
    <xf numFmtId="41" fontId="14" fillId="0" borderId="18" xfId="1" applyFont="1" applyFill="1" applyBorder="1" applyAlignment="1">
      <alignment horizontal="center" vertical="center"/>
    </xf>
    <xf numFmtId="10" fontId="14" fillId="0" borderId="19" xfId="2" applyNumberFormat="1" applyFont="1" applyFill="1" applyBorder="1" applyAlignment="1">
      <alignment horizontal="right" vertical="center"/>
    </xf>
    <xf numFmtId="0" fontId="13" fillId="0" borderId="17" xfId="1" applyNumberFormat="1" applyFont="1" applyFill="1" applyBorder="1" applyAlignment="1">
      <alignment horizontal="center" vertical="center"/>
    </xf>
    <xf numFmtId="0" fontId="13" fillId="0" borderId="17" xfId="3" applyNumberFormat="1" applyFont="1" applyFill="1" applyBorder="1" applyAlignment="1">
      <alignment horizontal="center" vertical="center"/>
    </xf>
    <xf numFmtId="176" fontId="14" fillId="0" borderId="19" xfId="3" applyNumberFormat="1" applyFont="1" applyFill="1" applyBorder="1" applyAlignment="1">
      <alignment horizontal="right" vertical="center"/>
    </xf>
    <xf numFmtId="0" fontId="13" fillId="0" borderId="16" xfId="1" applyNumberFormat="1" applyFont="1" applyFill="1" applyBorder="1" applyAlignment="1">
      <alignment horizontal="center" vertical="center"/>
    </xf>
    <xf numFmtId="41" fontId="14" fillId="0" borderId="2" xfId="1" applyFont="1" applyFill="1" applyBorder="1" applyAlignment="1">
      <alignment horizontal="center" vertical="center"/>
    </xf>
    <xf numFmtId="10" fontId="14" fillId="0" borderId="1" xfId="2" applyNumberFormat="1" applyFont="1" applyFill="1" applyBorder="1" applyAlignment="1">
      <alignment horizontal="right" vertical="center"/>
    </xf>
    <xf numFmtId="0" fontId="13" fillId="3" borderId="3" xfId="3" applyNumberFormat="1" applyFont="1" applyFill="1" applyBorder="1" applyAlignment="1">
      <alignment horizontal="center" vertical="center" wrapText="1"/>
    </xf>
    <xf numFmtId="41" fontId="14" fillId="3" borderId="6" xfId="1" applyFont="1" applyFill="1" applyBorder="1" applyAlignment="1">
      <alignment horizontal="center" vertical="center"/>
    </xf>
    <xf numFmtId="0" fontId="14" fillId="3" borderId="7" xfId="3" applyFont="1" applyFill="1" applyBorder="1" applyAlignment="1">
      <alignment horizontal="center" vertical="center"/>
    </xf>
    <xf numFmtId="0" fontId="11" fillId="2" borderId="4" xfId="3" applyNumberFormat="1" applyFont="1" applyFill="1" applyBorder="1" applyAlignment="1">
      <alignment horizontal="center" vertical="center" wrapText="1"/>
    </xf>
    <xf numFmtId="9" fontId="12" fillId="2" borderId="9" xfId="3" applyNumberFormat="1" applyFont="1" applyFill="1" applyBorder="1" applyAlignment="1">
      <alignment horizontal="right" vertical="center"/>
    </xf>
    <xf numFmtId="0" fontId="13" fillId="0" borderId="4" xfId="1" applyNumberFormat="1" applyFont="1" applyFill="1" applyBorder="1" applyAlignment="1">
      <alignment horizontal="center" vertical="center"/>
    </xf>
    <xf numFmtId="41" fontId="14" fillId="0" borderId="8" xfId="1" applyFont="1" applyFill="1" applyBorder="1" applyAlignment="1">
      <alignment horizontal="center" vertical="center"/>
    </xf>
    <xf numFmtId="10" fontId="14" fillId="0" borderId="9" xfId="2" applyNumberFormat="1" applyFont="1" applyFill="1" applyBorder="1" applyAlignment="1">
      <alignment horizontal="right" vertical="center"/>
    </xf>
    <xf numFmtId="0" fontId="13" fillId="0" borderId="5" xfId="3" applyNumberFormat="1" applyFont="1" applyFill="1" applyBorder="1" applyAlignment="1">
      <alignment horizontal="center" vertical="center"/>
    </xf>
    <xf numFmtId="41" fontId="14" fillId="0" borderId="10" xfId="1" applyFont="1" applyFill="1" applyBorder="1" applyAlignment="1">
      <alignment horizontal="center" vertical="center"/>
    </xf>
    <xf numFmtId="176" fontId="14" fillId="0" borderId="11" xfId="3" applyNumberFormat="1" applyFont="1" applyFill="1" applyBorder="1" applyAlignment="1">
      <alignment horizontal="right" vertical="center"/>
    </xf>
    <xf numFmtId="0" fontId="13" fillId="0" borderId="5" xfId="1" applyNumberFormat="1" applyFont="1" applyFill="1" applyBorder="1" applyAlignment="1">
      <alignment horizontal="center" vertical="center"/>
    </xf>
    <xf numFmtId="10" fontId="14" fillId="0" borderId="11" xfId="2" applyNumberFormat="1" applyFont="1" applyFill="1" applyBorder="1" applyAlignment="1">
      <alignment horizontal="right" vertical="center"/>
    </xf>
    <xf numFmtId="0" fontId="17" fillId="0" borderId="5" xfId="1" applyNumberFormat="1" applyFont="1" applyFill="1" applyBorder="1" applyAlignment="1">
      <alignment horizontal="center" vertical="center" wrapText="1"/>
    </xf>
    <xf numFmtId="0" fontId="13" fillId="3" borderId="24" xfId="3" applyNumberFormat="1" applyFont="1" applyFill="1" applyBorder="1" applyAlignment="1">
      <alignment horizontal="center" vertical="center" wrapText="1"/>
    </xf>
    <xf numFmtId="41" fontId="14" fillId="3" borderId="12" xfId="1" applyFont="1" applyFill="1" applyBorder="1" applyAlignment="1">
      <alignment horizontal="center" vertical="center"/>
    </xf>
    <xf numFmtId="0" fontId="14" fillId="3" borderId="12" xfId="3" applyFont="1" applyFill="1" applyBorder="1" applyAlignment="1">
      <alignment horizontal="center" vertical="center"/>
    </xf>
    <xf numFmtId="0" fontId="13" fillId="3" borderId="25" xfId="3" applyNumberFormat="1" applyFont="1" applyFill="1" applyBorder="1" applyAlignment="1">
      <alignment horizontal="center" vertical="center" wrapText="1"/>
    </xf>
    <xf numFmtId="0" fontId="11" fillId="2" borderId="26" xfId="3" applyNumberFormat="1" applyFont="1" applyFill="1" applyBorder="1" applyAlignment="1">
      <alignment horizontal="center" vertical="center" wrapText="1"/>
    </xf>
    <xf numFmtId="0" fontId="13" fillId="0" borderId="26" xfId="1" applyNumberFormat="1" applyFont="1" applyFill="1" applyBorder="1" applyAlignment="1">
      <alignment horizontal="center" vertical="center"/>
    </xf>
    <xf numFmtId="41" fontId="14" fillId="0" borderId="27" xfId="1" applyFont="1" applyFill="1" applyBorder="1" applyAlignment="1">
      <alignment horizontal="center" vertical="center"/>
    </xf>
    <xf numFmtId="0" fontId="13" fillId="0" borderId="28" xfId="1" applyNumberFormat="1" applyFont="1" applyFill="1" applyBorder="1" applyAlignment="1">
      <alignment horizontal="center" vertical="center"/>
    </xf>
    <xf numFmtId="10" fontId="14" fillId="0" borderId="27" xfId="2" applyNumberFormat="1" applyFont="1" applyFill="1" applyBorder="1" applyAlignment="1">
      <alignment horizontal="right" vertical="center"/>
    </xf>
    <xf numFmtId="0" fontId="17" fillId="0" borderId="16" xfId="1" applyNumberFormat="1" applyFont="1" applyFill="1" applyBorder="1" applyAlignment="1">
      <alignment horizontal="center" vertical="center" wrapText="1"/>
    </xf>
    <xf numFmtId="41" fontId="12" fillId="2" borderId="2" xfId="1" applyFont="1" applyFill="1" applyBorder="1" applyAlignment="1">
      <alignment horizontal="center" vertical="center"/>
    </xf>
    <xf numFmtId="178" fontId="21" fillId="2" borderId="2" xfId="0" applyNumberFormat="1" applyFont="1" applyFill="1" applyBorder="1">
      <alignment vertical="center"/>
    </xf>
    <xf numFmtId="177" fontId="15" fillId="2" borderId="2" xfId="0" applyNumberFormat="1" applyFont="1" applyFill="1" applyBorder="1">
      <alignment vertical="center"/>
    </xf>
    <xf numFmtId="178" fontId="21" fillId="0" borderId="2" xfId="0" applyNumberFormat="1" applyFont="1" applyBorder="1">
      <alignment vertical="center"/>
    </xf>
    <xf numFmtId="10" fontId="21" fillId="0" borderId="1" xfId="0" applyNumberFormat="1" applyFont="1" applyBorder="1">
      <alignment vertical="center"/>
    </xf>
    <xf numFmtId="0" fontId="22" fillId="0" borderId="0" xfId="3" applyNumberFormat="1" applyFont="1" applyBorder="1" applyAlignment="1">
      <alignment horizontal="center" vertical="center" wrapText="1"/>
    </xf>
    <xf numFmtId="41" fontId="22" fillId="0" borderId="0" xfId="1" applyFont="1" applyBorder="1" applyAlignment="1">
      <alignment horizontal="center" vertical="center"/>
    </xf>
    <xf numFmtId="0" fontId="22" fillId="0" borderId="0" xfId="3" applyFont="1" applyBorder="1" applyAlignment="1">
      <alignment horizontal="right" vertical="center"/>
    </xf>
    <xf numFmtId="0" fontId="22" fillId="0" borderId="0" xfId="3" applyNumberFormat="1" applyFont="1" applyBorder="1" applyAlignment="1">
      <alignment horizontal="center" vertical="center"/>
    </xf>
    <xf numFmtId="178" fontId="21" fillId="2" borderId="21" xfId="0" applyNumberFormat="1" applyFont="1" applyFill="1" applyBorder="1">
      <alignment vertical="center"/>
    </xf>
    <xf numFmtId="178" fontId="15" fillId="2" borderId="21" xfId="0" applyNumberFormat="1" applyFont="1" applyFill="1" applyBorder="1">
      <alignment vertical="center"/>
    </xf>
    <xf numFmtId="178" fontId="21" fillId="2" borderId="8" xfId="0" applyNumberFormat="1" applyFont="1" applyFill="1" applyBorder="1">
      <alignment vertical="center"/>
    </xf>
    <xf numFmtId="3" fontId="21" fillId="2" borderId="2" xfId="0" applyNumberFormat="1" applyFont="1" applyFill="1" applyBorder="1">
      <alignment vertical="center"/>
    </xf>
    <xf numFmtId="178" fontId="15" fillId="2" borderId="2" xfId="0" applyNumberFormat="1" applyFont="1" applyFill="1" applyBorder="1">
      <alignment vertical="center"/>
    </xf>
    <xf numFmtId="178" fontId="15" fillId="2" borderId="8" xfId="0" applyNumberFormat="1" applyFont="1" applyFill="1" applyBorder="1">
      <alignment vertical="center"/>
    </xf>
    <xf numFmtId="0" fontId="9" fillId="0" borderId="5" xfId="0" applyFont="1" applyFill="1" applyBorder="1" applyAlignment="1">
      <alignment horizontal="center" vertical="center" wrapText="1"/>
    </xf>
    <xf numFmtId="0" fontId="18" fillId="0" borderId="16" xfId="1" applyNumberFormat="1" applyFont="1" applyFill="1" applyBorder="1" applyAlignment="1">
      <alignment horizontal="center" vertical="center" wrapText="1"/>
    </xf>
    <xf numFmtId="49" fontId="20" fillId="0" borderId="5" xfId="0" applyNumberFormat="1" applyFont="1" applyFill="1" applyBorder="1" applyAlignment="1">
      <alignment horizontal="center" vertical="center"/>
    </xf>
    <xf numFmtId="41" fontId="12" fillId="0" borderId="18" xfId="1" applyFont="1" applyFill="1" applyBorder="1" applyAlignment="1">
      <alignment vertical="center"/>
    </xf>
    <xf numFmtId="0" fontId="13" fillId="0" borderId="31" xfId="1" applyNumberFormat="1" applyFont="1" applyFill="1" applyBorder="1" applyAlignment="1">
      <alignment horizontal="center" vertical="center"/>
    </xf>
    <xf numFmtId="41" fontId="25" fillId="0" borderId="8" xfId="1" applyFont="1" applyFill="1" applyBorder="1" applyAlignment="1">
      <alignment horizontal="center" vertical="center"/>
    </xf>
    <xf numFmtId="10" fontId="25" fillId="0" borderId="9" xfId="0" applyNumberFormat="1" applyFont="1" applyFill="1" applyBorder="1" applyAlignment="1">
      <alignment vertical="center"/>
    </xf>
    <xf numFmtId="49" fontId="20" fillId="0" borderId="4" xfId="0" applyNumberFormat="1" applyFont="1" applyFill="1" applyBorder="1" applyAlignment="1">
      <alignment horizontal="center" vertical="center"/>
    </xf>
    <xf numFmtId="177" fontId="21" fillId="0" borderId="8" xfId="0" applyNumberFormat="1" applyFont="1" applyFill="1" applyBorder="1">
      <alignment vertical="center"/>
    </xf>
    <xf numFmtId="10" fontId="15" fillId="0" borderId="9" xfId="0" applyNumberFormat="1" applyFont="1" applyFill="1" applyBorder="1">
      <alignment vertical="center"/>
    </xf>
    <xf numFmtId="178" fontId="15" fillId="0" borderId="8" xfId="0" applyNumberFormat="1" applyFont="1" applyFill="1" applyBorder="1">
      <alignment vertical="center"/>
    </xf>
    <xf numFmtId="178" fontId="15" fillId="0" borderId="10" xfId="0" applyNumberFormat="1" applyFont="1" applyFill="1" applyBorder="1">
      <alignment vertical="center"/>
    </xf>
    <xf numFmtId="10" fontId="15" fillId="0" borderId="11" xfId="0" applyNumberFormat="1" applyFont="1" applyFill="1" applyBorder="1">
      <alignment vertical="center"/>
    </xf>
    <xf numFmtId="0" fontId="24" fillId="0" borderId="4" xfId="0" applyFont="1" applyFill="1" applyBorder="1" applyAlignment="1">
      <alignment horizontal="center" vertical="center"/>
    </xf>
    <xf numFmtId="177" fontId="15" fillId="0" borderId="8" xfId="0" applyNumberFormat="1" applyFont="1" applyFill="1" applyBorder="1">
      <alignment vertical="center"/>
    </xf>
    <xf numFmtId="177" fontId="15" fillId="0" borderId="10" xfId="0" applyNumberFormat="1" applyFont="1" applyFill="1" applyBorder="1">
      <alignment vertical="center"/>
    </xf>
    <xf numFmtId="178" fontId="21" fillId="0" borderId="2" xfId="0" applyNumberFormat="1" applyFont="1" applyFill="1" applyBorder="1">
      <alignment vertical="center"/>
    </xf>
    <xf numFmtId="10" fontId="21" fillId="0" borderId="1" xfId="0" applyNumberFormat="1" applyFont="1" applyFill="1" applyBorder="1">
      <alignment vertical="center"/>
    </xf>
    <xf numFmtId="177" fontId="15" fillId="0" borderId="2" xfId="0" applyNumberFormat="1" applyFont="1" applyFill="1" applyBorder="1">
      <alignment vertical="center"/>
    </xf>
    <xf numFmtId="10" fontId="15" fillId="0" borderId="1" xfId="0" applyNumberFormat="1" applyFont="1" applyFill="1" applyBorder="1">
      <alignment vertical="center"/>
    </xf>
    <xf numFmtId="178" fontId="21" fillId="0" borderId="18" xfId="0" applyNumberFormat="1" applyFont="1" applyFill="1" applyBorder="1">
      <alignment vertical="center"/>
    </xf>
    <xf numFmtId="10" fontId="21" fillId="0" borderId="19" xfId="0" applyNumberFormat="1" applyFont="1" applyFill="1" applyBorder="1">
      <alignment vertical="center"/>
    </xf>
    <xf numFmtId="178" fontId="21" fillId="0" borderId="21" xfId="0" applyNumberFormat="1" applyFont="1" applyFill="1" applyBorder="1">
      <alignment vertical="center"/>
    </xf>
    <xf numFmtId="10" fontId="21" fillId="0" borderId="22" xfId="0" applyNumberFormat="1" applyFont="1" applyFill="1" applyBorder="1">
      <alignment vertical="center"/>
    </xf>
    <xf numFmtId="178" fontId="15" fillId="0" borderId="21" xfId="0" applyNumberFormat="1" applyFont="1" applyFill="1" applyBorder="1">
      <alignment vertical="center"/>
    </xf>
    <xf numFmtId="10" fontId="15" fillId="0" borderId="22" xfId="0" applyNumberFormat="1" applyFont="1" applyFill="1" applyBorder="1">
      <alignment vertical="center"/>
    </xf>
    <xf numFmtId="178" fontId="21" fillId="0" borderId="29" xfId="0" applyNumberFormat="1" applyFont="1" applyFill="1" applyBorder="1">
      <alignment vertical="center"/>
    </xf>
    <xf numFmtId="10" fontId="21" fillId="0" borderId="30" xfId="0" applyNumberFormat="1" applyFont="1" applyFill="1" applyBorder="1">
      <alignment vertical="center"/>
    </xf>
    <xf numFmtId="0" fontId="20" fillId="0" borderId="16" xfId="0" applyFont="1" applyFill="1" applyBorder="1" applyAlignment="1">
      <alignment horizontal="center" vertical="center"/>
    </xf>
    <xf numFmtId="178" fontId="21" fillId="0" borderId="8" xfId="0" applyNumberFormat="1" applyFont="1" applyFill="1" applyBorder="1">
      <alignment vertical="center"/>
    </xf>
    <xf numFmtId="10" fontId="21" fillId="0" borderId="9" xfId="0" applyNumberFormat="1" applyFont="1" applyFill="1" applyBorder="1">
      <alignment vertical="center"/>
    </xf>
    <xf numFmtId="178" fontId="21" fillId="0" borderId="32" xfId="0" applyNumberFormat="1" applyFont="1" applyFill="1" applyBorder="1">
      <alignment vertical="center"/>
    </xf>
    <xf numFmtId="10" fontId="21" fillId="0" borderId="33" xfId="0" applyNumberFormat="1" applyFont="1" applyFill="1" applyBorder="1">
      <alignment vertical="center"/>
    </xf>
    <xf numFmtId="10" fontId="21" fillId="0" borderId="11" xfId="0" applyNumberFormat="1" applyFont="1" applyFill="1" applyBorder="1">
      <alignment vertical="center"/>
    </xf>
    <xf numFmtId="0" fontId="20" fillId="0" borderId="17" xfId="0" applyFont="1" applyFill="1" applyBorder="1" applyAlignment="1">
      <alignment horizontal="center" vertical="center"/>
    </xf>
    <xf numFmtId="3" fontId="21" fillId="0" borderId="2" xfId="0" applyNumberFormat="1" applyFont="1" applyFill="1" applyBorder="1">
      <alignment vertical="center"/>
    </xf>
    <xf numFmtId="3" fontId="21" fillId="0" borderId="18" xfId="0" applyNumberFormat="1" applyFont="1" applyFill="1" applyBorder="1">
      <alignment vertical="center"/>
    </xf>
    <xf numFmtId="178" fontId="15" fillId="0" borderId="2" xfId="0" applyNumberFormat="1" applyFont="1" applyFill="1" applyBorder="1">
      <alignment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5">
    <cellStyle name="기본 2" xfId="3" xr:uid="{00000000-0005-0000-0000-000000000000}"/>
    <cellStyle name="백분율" xfId="2" builtinId="5"/>
    <cellStyle name="쉼표 [0]" xfId="1" builtinId="6"/>
    <cellStyle name="쉼표[0] 2" xfId="4" xr:uid="{00000000-0005-0000-0000-000003000000}"/>
    <cellStyle name="표준" xfId="0" builtinId="0"/>
  </cellStyles>
  <dxfs count="0"/>
  <tableStyles count="0" defaultTableStyle="TableStyleMedium2" defaultPivotStyle="PivotStyleLight16"/>
  <colors>
    <mruColors>
      <color rgb="FF33CC33"/>
      <color rgb="FF00CC00"/>
      <color rgb="FF3333FF"/>
      <color rgb="FFFFFF99"/>
      <color rgb="FFFF66FF"/>
      <color rgb="FF66FFFF"/>
      <color rgb="FFFFFF66"/>
      <color rgb="FF00FFFF"/>
      <color rgb="FFFF99CC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31"/>
  <sheetViews>
    <sheetView view="pageBreakPreview" zoomScale="120" zoomScaleNormal="70" zoomScaleSheetLayoutView="120" workbookViewId="0">
      <selection activeCell="B8" sqref="B8"/>
    </sheetView>
  </sheetViews>
  <sheetFormatPr defaultColWidth="8.75" defaultRowHeight="16.5"/>
  <cols>
    <col min="1" max="1" width="10.625" customWidth="1"/>
    <col min="2" max="2" width="10.625" style="4" customWidth="1"/>
    <col min="3" max="3" width="8.75" style="20" customWidth="1"/>
    <col min="5" max="5" width="10.625" style="4" customWidth="1"/>
    <col min="6" max="6" width="8.75" style="20" customWidth="1"/>
    <col min="7" max="7" width="10.625" customWidth="1"/>
    <col min="8" max="8" width="10.625" style="4" customWidth="1"/>
    <col min="9" max="9" width="8.75" style="20" customWidth="1"/>
    <col min="10" max="10" width="10.625" customWidth="1"/>
    <col min="11" max="11" width="10.625" style="4" customWidth="1"/>
    <col min="12" max="12" width="8.75" style="20" customWidth="1"/>
    <col min="13" max="13" width="10.625" customWidth="1"/>
    <col min="14" max="14" width="10.625" style="4" customWidth="1"/>
    <col min="15" max="15" width="8.75" style="20" customWidth="1"/>
  </cols>
  <sheetData>
    <row r="1" spans="1:15" ht="24" customHeight="1">
      <c r="A1" s="158"/>
      <c r="B1" s="159"/>
    </row>
    <row r="2" spans="1:15" ht="14.25" customHeight="1">
      <c r="A2" s="160" t="s">
        <v>404</v>
      </c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</row>
    <row r="3" spans="1:15" ht="17.25" customHeight="1">
      <c r="A3" s="160"/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</row>
    <row r="4" spans="1:15" ht="16.5" customHeight="1" thickBot="1">
      <c r="A4" s="2"/>
      <c r="B4" s="161"/>
      <c r="C4" s="161"/>
      <c r="D4" s="161"/>
      <c r="E4" s="18"/>
      <c r="F4" s="21"/>
      <c r="G4" s="1"/>
      <c r="H4" s="18"/>
      <c r="I4" s="21"/>
      <c r="J4" s="1"/>
      <c r="K4" s="18"/>
      <c r="L4" s="21"/>
      <c r="M4" s="1"/>
      <c r="N4" s="18"/>
      <c r="O4" s="21"/>
    </row>
    <row r="5" spans="1:15" s="19" customFormat="1" ht="17.25" thickTop="1">
      <c r="A5" s="24" t="s">
        <v>33</v>
      </c>
      <c r="B5" s="32" t="s">
        <v>186</v>
      </c>
      <c r="C5" s="33" t="s">
        <v>0</v>
      </c>
      <c r="D5" s="24" t="s">
        <v>34</v>
      </c>
      <c r="E5" s="32" t="s">
        <v>186</v>
      </c>
      <c r="F5" s="33" t="s">
        <v>0</v>
      </c>
      <c r="G5" s="24" t="s">
        <v>35</v>
      </c>
      <c r="H5" s="32" t="s">
        <v>186</v>
      </c>
      <c r="I5" s="33" t="s">
        <v>0</v>
      </c>
      <c r="J5" s="24" t="s">
        <v>36</v>
      </c>
      <c r="K5" s="32" t="s">
        <v>186</v>
      </c>
      <c r="L5" s="33" t="s">
        <v>0</v>
      </c>
      <c r="M5" s="24" t="s">
        <v>44</v>
      </c>
      <c r="N5" s="32" t="s">
        <v>186</v>
      </c>
      <c r="O5" s="33" t="s">
        <v>0</v>
      </c>
    </row>
    <row r="6" spans="1:15" s="19" customFormat="1">
      <c r="A6" s="27" t="s">
        <v>187</v>
      </c>
      <c r="B6" s="119">
        <v>1002206</v>
      </c>
      <c r="C6" s="34">
        <v>1</v>
      </c>
      <c r="D6" s="27" t="s">
        <v>187</v>
      </c>
      <c r="E6" s="119">
        <v>562113</v>
      </c>
      <c r="F6" s="34">
        <v>1</v>
      </c>
      <c r="G6" s="27" t="s">
        <v>187</v>
      </c>
      <c r="H6" s="119">
        <v>8380578</v>
      </c>
      <c r="I6" s="34">
        <v>1</v>
      </c>
      <c r="J6" s="27" t="s">
        <v>187</v>
      </c>
      <c r="K6" s="119">
        <v>3289115</v>
      </c>
      <c r="L6" s="34">
        <v>1</v>
      </c>
      <c r="M6" s="27" t="s">
        <v>187</v>
      </c>
      <c r="N6" s="119">
        <v>314747</v>
      </c>
      <c r="O6" s="34">
        <v>1</v>
      </c>
    </row>
    <row r="7" spans="1:15">
      <c r="A7" s="127" t="s">
        <v>14</v>
      </c>
      <c r="B7" s="128">
        <v>991959</v>
      </c>
      <c r="C7" s="129">
        <v>0.98977555512539339</v>
      </c>
      <c r="D7" s="127" t="s">
        <v>28</v>
      </c>
      <c r="E7" s="130">
        <v>482240</v>
      </c>
      <c r="F7" s="129">
        <v>0.8579057947423383</v>
      </c>
      <c r="G7" s="25" t="s">
        <v>1</v>
      </c>
      <c r="H7" s="130">
        <v>8342772</v>
      </c>
      <c r="I7" s="129">
        <v>0.99548885530329767</v>
      </c>
      <c r="J7" s="127" t="s">
        <v>3</v>
      </c>
      <c r="K7" s="130">
        <v>3176910</v>
      </c>
      <c r="L7" s="129">
        <v>0.96588596020510076</v>
      </c>
      <c r="M7" s="25" t="s">
        <v>43</v>
      </c>
      <c r="N7" s="130">
        <v>305225</v>
      </c>
      <c r="O7" s="38">
        <v>0.96974713023476</v>
      </c>
    </row>
    <row r="8" spans="1:15">
      <c r="A8" s="127"/>
      <c r="B8" s="130"/>
      <c r="C8" s="129"/>
      <c r="D8" s="127" t="s">
        <v>31</v>
      </c>
      <c r="E8" s="130">
        <v>44374</v>
      </c>
      <c r="F8" s="129">
        <v>7.8941422810004394E-2</v>
      </c>
      <c r="G8" s="25" t="s">
        <v>6</v>
      </c>
      <c r="H8" s="130">
        <v>35451</v>
      </c>
      <c r="I8" s="129">
        <v>4.2358691571194032E-3</v>
      </c>
      <c r="J8" s="127" t="s">
        <v>339</v>
      </c>
      <c r="K8" s="130">
        <v>52906</v>
      </c>
      <c r="L8" s="129">
        <v>1.6085177927801248E-2</v>
      </c>
      <c r="M8" s="25"/>
      <c r="N8" s="35"/>
      <c r="O8" s="44"/>
    </row>
    <row r="9" spans="1:15" ht="17.25" thickBot="1">
      <c r="A9" s="120"/>
      <c r="B9" s="36"/>
      <c r="C9" s="37"/>
      <c r="D9" s="122" t="s">
        <v>32</v>
      </c>
      <c r="E9" s="131">
        <v>19044</v>
      </c>
      <c r="F9" s="132">
        <v>3.3879308964567624E-2</v>
      </c>
      <c r="G9" s="26"/>
      <c r="H9" s="36"/>
      <c r="I9" s="41"/>
      <c r="J9" s="122" t="s">
        <v>340</v>
      </c>
      <c r="K9" s="131">
        <v>49544</v>
      </c>
      <c r="L9" s="132">
        <v>1.5063018471534136E-2</v>
      </c>
      <c r="M9" s="26"/>
      <c r="N9" s="36"/>
      <c r="O9" s="39"/>
    </row>
    <row r="10" spans="1:15" ht="18" thickTop="1" thickBot="1">
      <c r="A10" s="23"/>
      <c r="B10" s="6"/>
      <c r="C10" s="30"/>
      <c r="D10" s="23"/>
      <c r="E10" s="6"/>
      <c r="F10" s="30"/>
      <c r="G10" s="23"/>
      <c r="H10" s="6"/>
      <c r="I10" s="30"/>
      <c r="J10" s="23"/>
      <c r="K10" s="6"/>
      <c r="L10" s="30"/>
      <c r="M10" s="23"/>
      <c r="N10" s="6"/>
      <c r="O10" s="30"/>
    </row>
    <row r="11" spans="1:15" s="3" customFormat="1" ht="17.25" thickTop="1">
      <c r="A11" s="24" t="s">
        <v>47</v>
      </c>
      <c r="B11" s="32" t="s">
        <v>186</v>
      </c>
      <c r="C11" s="33" t="s">
        <v>0</v>
      </c>
      <c r="D11" s="24" t="s">
        <v>37</v>
      </c>
      <c r="E11" s="32" t="s">
        <v>186</v>
      </c>
      <c r="F11" s="33" t="s">
        <v>0</v>
      </c>
      <c r="G11" s="24" t="s">
        <v>49</v>
      </c>
      <c r="H11" s="32" t="s">
        <v>186</v>
      </c>
      <c r="I11" s="33" t="s">
        <v>0</v>
      </c>
      <c r="J11" s="24" t="s">
        <v>62</v>
      </c>
      <c r="K11" s="32" t="s">
        <v>186</v>
      </c>
      <c r="L11" s="33" t="s">
        <v>0</v>
      </c>
      <c r="M11" s="24" t="s">
        <v>38</v>
      </c>
      <c r="N11" s="32" t="s">
        <v>186</v>
      </c>
      <c r="O11" s="33" t="s">
        <v>0</v>
      </c>
    </row>
    <row r="12" spans="1:15" s="3" customFormat="1">
      <c r="A12" s="28" t="s">
        <v>187</v>
      </c>
      <c r="B12" s="119">
        <v>303067</v>
      </c>
      <c r="C12" s="34">
        <v>1</v>
      </c>
      <c r="D12" s="28" t="s">
        <v>187</v>
      </c>
      <c r="E12" s="119">
        <v>592238</v>
      </c>
      <c r="F12" s="34">
        <v>1</v>
      </c>
      <c r="G12" s="28" t="s">
        <v>187</v>
      </c>
      <c r="H12" s="119">
        <v>542142</v>
      </c>
      <c r="I12" s="34">
        <v>1</v>
      </c>
      <c r="J12" s="28" t="s">
        <v>187</v>
      </c>
      <c r="K12" s="119">
        <v>781429</v>
      </c>
      <c r="L12" s="34">
        <v>1</v>
      </c>
      <c r="M12" s="28" t="s">
        <v>187</v>
      </c>
      <c r="N12" s="119">
        <v>604923</v>
      </c>
      <c r="O12" s="34">
        <v>1</v>
      </c>
    </row>
    <row r="13" spans="1:15">
      <c r="A13" s="127" t="s">
        <v>45</v>
      </c>
      <c r="B13" s="130">
        <v>225402</v>
      </c>
      <c r="C13" s="129">
        <v>0.7437365335057925</v>
      </c>
      <c r="D13" s="25" t="s">
        <v>27</v>
      </c>
      <c r="E13" s="130">
        <v>540313</v>
      </c>
      <c r="F13" s="129">
        <v>0.91232409943299819</v>
      </c>
      <c r="G13" s="25" t="s">
        <v>48</v>
      </c>
      <c r="H13" s="130">
        <v>540866</v>
      </c>
      <c r="I13" s="129">
        <v>0.9976463730904449</v>
      </c>
      <c r="J13" s="25" t="s">
        <v>26</v>
      </c>
      <c r="K13" s="130">
        <v>749710</v>
      </c>
      <c r="L13" s="129">
        <v>0.95940898021445331</v>
      </c>
      <c r="M13" s="25" t="s">
        <v>25</v>
      </c>
      <c r="N13" s="130">
        <v>601330</v>
      </c>
      <c r="O13" s="129">
        <v>0.99406040107583937</v>
      </c>
    </row>
    <row r="14" spans="1:15">
      <c r="A14" s="127" t="s">
        <v>11</v>
      </c>
      <c r="B14" s="130">
        <v>28752</v>
      </c>
      <c r="C14" s="129">
        <v>9.487011122953011E-2</v>
      </c>
      <c r="D14" s="25" t="s">
        <v>30</v>
      </c>
      <c r="E14" s="130">
        <v>40604</v>
      </c>
      <c r="F14" s="129">
        <v>6.8560274754406167E-2</v>
      </c>
      <c r="G14" s="25"/>
      <c r="H14" s="35"/>
      <c r="I14" s="40"/>
      <c r="J14" s="25" t="s">
        <v>29</v>
      </c>
      <c r="K14" s="130">
        <v>29435</v>
      </c>
      <c r="L14" s="129">
        <v>3.7668169469011262E-2</v>
      </c>
      <c r="M14" s="133"/>
      <c r="N14" s="134"/>
      <c r="O14" s="129"/>
    </row>
    <row r="15" spans="1:15" ht="20.25" thickBot="1">
      <c r="A15" s="122" t="s">
        <v>46</v>
      </c>
      <c r="B15" s="131">
        <v>18295</v>
      </c>
      <c r="C15" s="132">
        <v>6.0366189654432849E-2</v>
      </c>
      <c r="D15" s="26"/>
      <c r="E15" s="36"/>
      <c r="F15" s="41"/>
      <c r="G15" s="26"/>
      <c r="H15" s="36"/>
      <c r="I15" s="41"/>
      <c r="J15" s="120" t="s">
        <v>63</v>
      </c>
      <c r="K15" s="36"/>
      <c r="L15" s="41"/>
      <c r="M15" s="26"/>
      <c r="N15" s="36"/>
      <c r="O15" s="41"/>
    </row>
    <row r="16" spans="1:15" ht="18" thickTop="1" thickBot="1">
      <c r="A16" s="23"/>
      <c r="B16" s="6"/>
      <c r="C16" s="30"/>
      <c r="D16" s="23"/>
      <c r="E16" s="6"/>
      <c r="F16" s="30"/>
      <c r="G16" s="23"/>
      <c r="H16" s="6"/>
      <c r="I16" s="30"/>
      <c r="J16" s="23"/>
      <c r="K16" s="6"/>
      <c r="L16" s="30"/>
      <c r="M16" s="23"/>
      <c r="N16" s="6"/>
      <c r="O16" s="30"/>
    </row>
    <row r="17" spans="1:15" s="3" customFormat="1" ht="17.25" thickTop="1">
      <c r="A17" s="24" t="s">
        <v>51</v>
      </c>
      <c r="B17" s="32" t="s">
        <v>186</v>
      </c>
      <c r="C17" s="33" t="s">
        <v>0</v>
      </c>
      <c r="D17" s="24" t="s">
        <v>52</v>
      </c>
      <c r="E17" s="32" t="s">
        <v>186</v>
      </c>
      <c r="F17" s="33" t="s">
        <v>0</v>
      </c>
      <c r="G17" s="24" t="s">
        <v>53</v>
      </c>
      <c r="H17" s="32" t="s">
        <v>186</v>
      </c>
      <c r="I17" s="33" t="s">
        <v>0</v>
      </c>
      <c r="J17" s="24" t="s">
        <v>39</v>
      </c>
      <c r="K17" s="32" t="s">
        <v>186</v>
      </c>
      <c r="L17" s="33" t="s">
        <v>0</v>
      </c>
      <c r="M17" s="24" t="s">
        <v>40</v>
      </c>
      <c r="N17" s="32" t="s">
        <v>186</v>
      </c>
      <c r="O17" s="33" t="s">
        <v>0</v>
      </c>
    </row>
    <row r="18" spans="1:15" s="3" customFormat="1">
      <c r="A18" s="28" t="s">
        <v>187</v>
      </c>
      <c r="B18" s="119">
        <v>770661</v>
      </c>
      <c r="C18" s="34">
        <v>1</v>
      </c>
      <c r="D18" s="28" t="s">
        <v>187</v>
      </c>
      <c r="E18" s="119">
        <v>811375</v>
      </c>
      <c r="F18" s="34">
        <v>1</v>
      </c>
      <c r="G18" s="28" t="s">
        <v>187</v>
      </c>
      <c r="H18" s="119">
        <v>5817761</v>
      </c>
      <c r="I18" s="42">
        <v>1</v>
      </c>
      <c r="J18" s="28" t="s">
        <v>187</v>
      </c>
      <c r="K18" s="119">
        <v>796915</v>
      </c>
      <c r="L18" s="34">
        <v>1</v>
      </c>
      <c r="M18" s="28" t="s">
        <v>187</v>
      </c>
      <c r="N18" s="119">
        <v>803830</v>
      </c>
      <c r="O18" s="34">
        <v>1</v>
      </c>
    </row>
    <row r="19" spans="1:15">
      <c r="A19" s="127" t="s">
        <v>23</v>
      </c>
      <c r="B19" s="130">
        <v>301827</v>
      </c>
      <c r="C19" s="129">
        <v>0.39164691089856629</v>
      </c>
      <c r="D19" s="25" t="s">
        <v>15</v>
      </c>
      <c r="E19" s="130">
        <v>400835</v>
      </c>
      <c r="F19" s="129">
        <v>0.49401941149283624</v>
      </c>
      <c r="G19" s="25" t="s">
        <v>2</v>
      </c>
      <c r="H19" s="130">
        <v>5746399</v>
      </c>
      <c r="I19" s="129">
        <v>0.987733769056515</v>
      </c>
      <c r="J19" s="127" t="s">
        <v>13</v>
      </c>
      <c r="K19" s="130">
        <v>568072</v>
      </c>
      <c r="L19" s="129">
        <v>0.71283888495008874</v>
      </c>
      <c r="M19" s="25" t="s">
        <v>16</v>
      </c>
      <c r="N19" s="130">
        <v>710620</v>
      </c>
      <c r="O19" s="129">
        <v>0.88404264583307413</v>
      </c>
    </row>
    <row r="20" spans="1:15">
      <c r="A20" s="127" t="s">
        <v>50</v>
      </c>
      <c r="B20" s="130">
        <v>275817</v>
      </c>
      <c r="C20" s="129">
        <v>0.35789666273497683</v>
      </c>
      <c r="D20" s="25" t="s">
        <v>18</v>
      </c>
      <c r="E20" s="130">
        <v>339337</v>
      </c>
      <c r="F20" s="129">
        <v>0.4182246187028193</v>
      </c>
      <c r="G20" s="25" t="s">
        <v>7</v>
      </c>
      <c r="H20" s="130">
        <v>53785</v>
      </c>
      <c r="I20" s="129">
        <v>9.2449655460236334E-3</v>
      </c>
      <c r="J20" s="127" t="s">
        <v>20</v>
      </c>
      <c r="K20" s="130">
        <v>186048</v>
      </c>
      <c r="L20" s="129">
        <v>0.23346028120941381</v>
      </c>
      <c r="M20" s="25" t="s">
        <v>19</v>
      </c>
      <c r="N20" s="130">
        <v>90810</v>
      </c>
      <c r="O20" s="129">
        <v>0.11297164823407935</v>
      </c>
    </row>
    <row r="21" spans="1:15">
      <c r="A21" s="127" t="s">
        <v>24</v>
      </c>
      <c r="B21" s="130">
        <v>118163</v>
      </c>
      <c r="C21" s="129">
        <v>0.15332681944460663</v>
      </c>
      <c r="D21" s="25" t="s">
        <v>21</v>
      </c>
      <c r="E21" s="130">
        <v>69011</v>
      </c>
      <c r="F21" s="129">
        <v>8.5054382991834848E-2</v>
      </c>
      <c r="G21" s="133"/>
      <c r="H21" s="125"/>
      <c r="I21" s="126"/>
      <c r="J21" s="127" t="s">
        <v>22</v>
      </c>
      <c r="K21" s="130">
        <v>25878</v>
      </c>
      <c r="L21" s="129">
        <v>3.2472722937829004E-2</v>
      </c>
      <c r="M21" s="25"/>
      <c r="N21" s="35"/>
      <c r="O21" s="40"/>
    </row>
    <row r="22" spans="1:15" ht="17.25" thickBot="1">
      <c r="A22" s="26" t="s">
        <v>358</v>
      </c>
      <c r="B22" s="135">
        <v>60305</v>
      </c>
      <c r="C22" s="132">
        <v>7.8251007901009653E-2</v>
      </c>
      <c r="D22" s="26"/>
      <c r="E22" s="36"/>
      <c r="F22" s="41"/>
      <c r="G22" s="26"/>
      <c r="H22" s="36"/>
      <c r="I22" s="41"/>
      <c r="J22" s="122"/>
      <c r="K22" s="135"/>
      <c r="L22" s="132"/>
      <c r="M22" s="26"/>
      <c r="N22" s="36"/>
      <c r="O22" s="41"/>
    </row>
    <row r="23" spans="1:15" s="7" customFormat="1" ht="18" thickTop="1" thickBot="1">
      <c r="A23" s="23"/>
      <c r="B23" s="6"/>
      <c r="C23" s="30"/>
      <c r="D23" s="23"/>
      <c r="E23" s="6"/>
      <c r="F23" s="30"/>
      <c r="G23" s="23"/>
      <c r="H23" s="6"/>
      <c r="I23" s="30"/>
      <c r="J23" s="23"/>
      <c r="K23" s="6"/>
      <c r="L23" s="31"/>
      <c r="M23" s="23"/>
      <c r="N23" s="6"/>
      <c r="O23" s="30"/>
    </row>
    <row r="24" spans="1:15" s="3" customFormat="1" ht="17.25" thickTop="1">
      <c r="A24" s="24" t="s">
        <v>57</v>
      </c>
      <c r="B24" s="32" t="s">
        <v>186</v>
      </c>
      <c r="C24" s="33" t="s">
        <v>0</v>
      </c>
      <c r="D24" s="24" t="s">
        <v>59</v>
      </c>
      <c r="E24" s="32" t="s">
        <v>186</v>
      </c>
      <c r="F24" s="33" t="s">
        <v>0</v>
      </c>
      <c r="G24" s="24" t="s">
        <v>41</v>
      </c>
      <c r="H24" s="32" t="s">
        <v>186</v>
      </c>
      <c r="I24" s="33" t="s">
        <v>0</v>
      </c>
      <c r="J24" s="24" t="s">
        <v>42</v>
      </c>
      <c r="K24" s="32" t="s">
        <v>186</v>
      </c>
      <c r="L24" s="33" t="s">
        <v>0</v>
      </c>
      <c r="M24" s="24" t="s">
        <v>61</v>
      </c>
      <c r="N24" s="32" t="s">
        <v>186</v>
      </c>
      <c r="O24" s="33" t="s">
        <v>0</v>
      </c>
    </row>
    <row r="25" spans="1:15" s="3" customFormat="1">
      <c r="A25" s="28" t="s">
        <v>187</v>
      </c>
      <c r="B25" s="119">
        <v>588305</v>
      </c>
      <c r="C25" s="34">
        <v>1</v>
      </c>
      <c r="D25" s="28" t="s">
        <v>187</v>
      </c>
      <c r="E25" s="119">
        <v>1903874</v>
      </c>
      <c r="F25" s="34">
        <v>1</v>
      </c>
      <c r="G25" s="28" t="s">
        <v>187</v>
      </c>
      <c r="H25" s="119">
        <v>1155692</v>
      </c>
      <c r="I25" s="34">
        <v>1</v>
      </c>
      <c r="J25" s="28" t="s">
        <v>187</v>
      </c>
      <c r="K25" s="119">
        <v>1840121</v>
      </c>
      <c r="L25" s="34">
        <v>1</v>
      </c>
      <c r="M25" s="28" t="s">
        <v>187</v>
      </c>
      <c r="N25" s="119">
        <v>616941</v>
      </c>
      <c r="O25" s="34">
        <v>1</v>
      </c>
    </row>
    <row r="26" spans="1:15">
      <c r="A26" s="127" t="s">
        <v>54</v>
      </c>
      <c r="B26" s="130">
        <v>433152</v>
      </c>
      <c r="C26" s="129">
        <v>0.73627115186850356</v>
      </c>
      <c r="D26" s="127" t="s">
        <v>5</v>
      </c>
      <c r="E26" s="130">
        <v>878290</v>
      </c>
      <c r="F26" s="129">
        <v>0.46131729305615815</v>
      </c>
      <c r="G26" s="25" t="s">
        <v>12</v>
      </c>
      <c r="H26" s="130">
        <v>784101</v>
      </c>
      <c r="I26" s="129">
        <v>0.67846883079574838</v>
      </c>
      <c r="J26" s="25" t="s">
        <v>4</v>
      </c>
      <c r="K26" s="130">
        <v>1738027</v>
      </c>
      <c r="L26" s="129">
        <v>0.94451777899388134</v>
      </c>
      <c r="M26" s="25" t="s">
        <v>60</v>
      </c>
      <c r="N26" s="130">
        <v>614133</v>
      </c>
      <c r="O26" s="129">
        <v>0.99544851128389911</v>
      </c>
    </row>
    <row r="27" spans="1:15">
      <c r="A27" s="127" t="s">
        <v>55</v>
      </c>
      <c r="B27" s="130">
        <v>105344</v>
      </c>
      <c r="C27" s="129">
        <v>0.17906358096565558</v>
      </c>
      <c r="D27" s="127" t="s">
        <v>58</v>
      </c>
      <c r="E27" s="130">
        <v>808835</v>
      </c>
      <c r="F27" s="129">
        <v>0.42483641249368392</v>
      </c>
      <c r="G27" s="25" t="s">
        <v>17</v>
      </c>
      <c r="H27" s="130">
        <v>362092</v>
      </c>
      <c r="I27" s="129">
        <v>0.31331185125448646</v>
      </c>
      <c r="J27" s="25" t="s">
        <v>8</v>
      </c>
      <c r="K27" s="130">
        <v>96831</v>
      </c>
      <c r="L27" s="129">
        <v>5.2622083004324173E-2</v>
      </c>
      <c r="M27" s="25"/>
      <c r="N27" s="35"/>
      <c r="O27" s="40"/>
    </row>
    <row r="28" spans="1:15">
      <c r="A28" s="127" t="s">
        <v>56</v>
      </c>
      <c r="B28" s="130">
        <v>27377</v>
      </c>
      <c r="C28" s="129">
        <v>4.6535385556811519E-2</v>
      </c>
      <c r="D28" s="127" t="s">
        <v>9</v>
      </c>
      <c r="E28" s="130">
        <v>135683</v>
      </c>
      <c r="F28" s="129">
        <v>7.1266796016963313E-2</v>
      </c>
      <c r="G28" s="25"/>
      <c r="H28" s="35"/>
      <c r="I28" s="40"/>
      <c r="J28" s="25"/>
      <c r="K28" s="35"/>
      <c r="L28" s="40"/>
      <c r="M28" s="25"/>
      <c r="N28" s="35"/>
      <c r="O28" s="40"/>
    </row>
    <row r="29" spans="1:15" s="7" customFormat="1">
      <c r="A29" s="127"/>
      <c r="B29" s="130"/>
      <c r="C29" s="129"/>
      <c r="D29" s="127" t="s">
        <v>10</v>
      </c>
      <c r="E29" s="130">
        <v>33866</v>
      </c>
      <c r="F29" s="129">
        <v>1.7787941849092954E-2</v>
      </c>
      <c r="G29" s="25"/>
      <c r="H29" s="35"/>
      <c r="I29" s="40"/>
      <c r="J29" s="25"/>
      <c r="K29" s="35"/>
      <c r="L29" s="40"/>
      <c r="M29" s="25"/>
      <c r="N29" s="35"/>
      <c r="O29" s="40"/>
    </row>
    <row r="30" spans="1:15" ht="17.25" thickBot="1">
      <c r="A30" s="122"/>
      <c r="B30" s="131"/>
      <c r="C30" s="132"/>
      <c r="D30" s="122" t="s">
        <v>359</v>
      </c>
      <c r="E30" s="131">
        <v>10603</v>
      </c>
      <c r="F30" s="132">
        <v>5.5691710690938577E-3</v>
      </c>
      <c r="G30" s="26"/>
      <c r="H30" s="36"/>
      <c r="I30" s="41"/>
      <c r="J30" s="26"/>
      <c r="K30" s="36"/>
      <c r="L30" s="41"/>
      <c r="M30" s="26"/>
      <c r="N30" s="36"/>
      <c r="O30" s="41"/>
    </row>
    <row r="31" spans="1:15" ht="17.25" thickTop="1">
      <c r="H31" s="43"/>
      <c r="I31" s="29"/>
    </row>
  </sheetData>
  <mergeCells count="3">
    <mergeCell ref="A1:B1"/>
    <mergeCell ref="A2:O3"/>
    <mergeCell ref="B4:D4"/>
  </mergeCells>
  <phoneticPr fontId="1" type="noConversion"/>
  <pageMargins left="0.23622047244094491" right="0.23622047244094491" top="0.74803149606299213" bottom="0.74803149606299213" header="0.31496062992125984" footer="0.31496062992125984"/>
  <pageSetup paperSize="9" scale="61" orientation="portrait" r:id="rId1"/>
  <headerFoot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O146"/>
  <sheetViews>
    <sheetView tabSelected="1" zoomScale="120" zoomScaleNormal="120" zoomScaleSheetLayoutView="70" workbookViewId="0">
      <selection activeCell="C1" sqref="C1"/>
    </sheetView>
  </sheetViews>
  <sheetFormatPr defaultRowHeight="16.5"/>
  <cols>
    <col min="1" max="1" width="10.625" style="8" customWidth="1"/>
    <col min="2" max="2" width="10.625" style="4" customWidth="1"/>
    <col min="3" max="3" width="8.75" style="15" customWidth="1"/>
    <col min="4" max="4" width="10.625" style="8" customWidth="1"/>
    <col min="5" max="5" width="10.625" style="4" customWidth="1"/>
    <col min="6" max="6" width="8.75" style="15" customWidth="1"/>
    <col min="7" max="7" width="10.625" style="8" customWidth="1"/>
    <col min="8" max="8" width="10.625" style="4" customWidth="1"/>
    <col min="9" max="9" width="8.75" style="15" customWidth="1"/>
    <col min="10" max="10" width="10.625" style="8" customWidth="1"/>
    <col min="11" max="11" width="10.625" style="4" customWidth="1"/>
    <col min="12" max="12" width="8.75" style="15" customWidth="1"/>
    <col min="13" max="13" width="10.625" style="8" customWidth="1"/>
    <col min="14" max="14" width="10.625" style="4" customWidth="1"/>
    <col min="15" max="15" width="8.75" style="15" customWidth="1"/>
  </cols>
  <sheetData>
    <row r="2" spans="1:15">
      <c r="A2" s="160" t="s">
        <v>405</v>
      </c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</row>
    <row r="3" spans="1:15">
      <c r="A3" s="160"/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</row>
    <row r="4" spans="1:15" ht="17.25" thickBot="1"/>
    <row r="5" spans="1:15" s="3" customFormat="1" ht="17.25" thickTop="1">
      <c r="A5" s="45" t="s">
        <v>189</v>
      </c>
      <c r="B5" s="46" t="s">
        <v>190</v>
      </c>
      <c r="C5" s="47" t="s">
        <v>0</v>
      </c>
      <c r="D5" s="45" t="s">
        <v>191</v>
      </c>
      <c r="E5" s="46" t="s">
        <v>190</v>
      </c>
      <c r="F5" s="47" t="s">
        <v>192</v>
      </c>
      <c r="G5" s="45" t="s">
        <v>193</v>
      </c>
      <c r="H5" s="46" t="s">
        <v>194</v>
      </c>
      <c r="I5" s="47" t="s">
        <v>0</v>
      </c>
      <c r="J5" s="45" t="s">
        <v>196</v>
      </c>
      <c r="K5" s="46" t="s">
        <v>197</v>
      </c>
      <c r="L5" s="47" t="s">
        <v>198</v>
      </c>
      <c r="M5" s="45" t="s">
        <v>195</v>
      </c>
      <c r="N5" s="46" t="s">
        <v>194</v>
      </c>
      <c r="O5" s="47" t="s">
        <v>0</v>
      </c>
    </row>
    <row r="6" spans="1:15" s="3" customFormat="1">
      <c r="A6" s="48" t="s">
        <v>187</v>
      </c>
      <c r="B6" s="106">
        <v>221464</v>
      </c>
      <c r="C6" s="49">
        <v>1</v>
      </c>
      <c r="D6" s="48" t="s">
        <v>187</v>
      </c>
      <c r="E6" s="106">
        <v>1904704</v>
      </c>
      <c r="F6" s="49">
        <v>1</v>
      </c>
      <c r="G6" s="48" t="s">
        <v>187</v>
      </c>
      <c r="H6" s="106">
        <v>124863</v>
      </c>
      <c r="I6" s="49">
        <v>1</v>
      </c>
      <c r="J6" s="48" t="s">
        <v>187</v>
      </c>
      <c r="K6" s="107">
        <v>320468</v>
      </c>
      <c r="L6" s="49">
        <v>1</v>
      </c>
      <c r="M6" s="48" t="s">
        <v>187</v>
      </c>
      <c r="N6" s="106">
        <v>191724</v>
      </c>
      <c r="O6" s="49">
        <v>1</v>
      </c>
    </row>
    <row r="7" spans="1:15">
      <c r="A7" s="50" t="s">
        <v>65</v>
      </c>
      <c r="B7" s="136">
        <v>128149</v>
      </c>
      <c r="C7" s="137">
        <v>0.57864483618104978</v>
      </c>
      <c r="D7" s="50" t="s">
        <v>66</v>
      </c>
      <c r="E7" s="136">
        <v>910282</v>
      </c>
      <c r="F7" s="137">
        <v>0.47791257854238767</v>
      </c>
      <c r="G7" s="50" t="s">
        <v>67</v>
      </c>
      <c r="H7" s="136">
        <v>78110</v>
      </c>
      <c r="I7" s="137">
        <v>0.62556561991943171</v>
      </c>
      <c r="J7" s="50" t="s">
        <v>68</v>
      </c>
      <c r="K7" s="138">
        <v>237315</v>
      </c>
      <c r="L7" s="139">
        <v>0.74052635520551191</v>
      </c>
      <c r="M7" s="50" t="s">
        <v>69</v>
      </c>
      <c r="N7" s="136">
        <v>100001</v>
      </c>
      <c r="O7" s="137">
        <v>0.521588324883687</v>
      </c>
    </row>
    <row r="8" spans="1:15">
      <c r="A8" s="50" t="s">
        <v>70</v>
      </c>
      <c r="B8" s="136">
        <v>46812</v>
      </c>
      <c r="C8" s="137">
        <v>0.21137521222410866</v>
      </c>
      <c r="D8" s="50" t="s">
        <v>71</v>
      </c>
      <c r="E8" s="136">
        <v>335048</v>
      </c>
      <c r="F8" s="137">
        <v>0.17590554752864487</v>
      </c>
      <c r="G8" s="50" t="s">
        <v>72</v>
      </c>
      <c r="H8" s="136">
        <v>40580</v>
      </c>
      <c r="I8" s="137">
        <v>0.32499619583063039</v>
      </c>
      <c r="J8" s="50" t="s">
        <v>73</v>
      </c>
      <c r="K8" s="138">
        <v>76255</v>
      </c>
      <c r="L8" s="139">
        <v>0.23794887477064794</v>
      </c>
      <c r="M8" s="50" t="s">
        <v>74</v>
      </c>
      <c r="N8" s="136">
        <v>32366</v>
      </c>
      <c r="O8" s="137">
        <v>0.16881558907596336</v>
      </c>
    </row>
    <row r="9" spans="1:15">
      <c r="A9" s="50" t="s">
        <v>75</v>
      </c>
      <c r="B9" s="136">
        <v>20868</v>
      </c>
      <c r="C9" s="137">
        <v>9.4227504244482174E-2</v>
      </c>
      <c r="D9" s="50" t="s">
        <v>76</v>
      </c>
      <c r="E9" s="136">
        <v>297729</v>
      </c>
      <c r="F9" s="137">
        <v>0.15631247689929773</v>
      </c>
      <c r="G9" s="50"/>
      <c r="H9" s="136"/>
      <c r="I9" s="137"/>
      <c r="J9" s="50"/>
      <c r="K9" s="51"/>
      <c r="L9" s="52"/>
      <c r="M9" s="50" t="s">
        <v>77</v>
      </c>
      <c r="N9" s="136">
        <v>30571</v>
      </c>
      <c r="O9" s="137">
        <v>0.15945317226846925</v>
      </c>
    </row>
    <row r="10" spans="1:15">
      <c r="A10" s="50" t="s">
        <v>78</v>
      </c>
      <c r="B10" s="136">
        <v>18634</v>
      </c>
      <c r="C10" s="137">
        <v>8.4140085973341036E-2</v>
      </c>
      <c r="D10" s="50" t="s">
        <v>79</v>
      </c>
      <c r="E10" s="136">
        <v>222471</v>
      </c>
      <c r="F10" s="137">
        <v>0.11680082574510266</v>
      </c>
      <c r="G10" s="50"/>
      <c r="H10" s="136"/>
      <c r="I10" s="137"/>
      <c r="J10" s="50"/>
      <c r="K10" s="51"/>
      <c r="L10" s="52"/>
      <c r="M10" s="50" t="s">
        <v>80</v>
      </c>
      <c r="N10" s="136">
        <v>27637</v>
      </c>
      <c r="O10" s="137">
        <v>0.14414992384886607</v>
      </c>
    </row>
    <row r="11" spans="1:15" ht="19.5">
      <c r="A11" s="121" t="s">
        <v>225</v>
      </c>
      <c r="B11" s="53"/>
      <c r="C11" s="54"/>
      <c r="D11" s="50" t="s">
        <v>81</v>
      </c>
      <c r="E11" s="136">
        <v>54157</v>
      </c>
      <c r="F11" s="137">
        <v>2.8433289371996909E-2</v>
      </c>
      <c r="G11" s="50"/>
      <c r="H11" s="51"/>
      <c r="I11" s="52"/>
      <c r="J11" s="50"/>
      <c r="K11" s="51"/>
      <c r="L11" s="52"/>
      <c r="M11" s="121" t="s">
        <v>406</v>
      </c>
      <c r="N11" s="51"/>
      <c r="O11" s="52"/>
    </row>
    <row r="12" spans="1:15" ht="17.25" thickBot="1">
      <c r="A12" s="55"/>
      <c r="B12" s="56"/>
      <c r="C12" s="57"/>
      <c r="D12" s="55" t="s">
        <v>82</v>
      </c>
      <c r="E12" s="140">
        <v>32375</v>
      </c>
      <c r="F12" s="141">
        <v>1.699739172070831E-2</v>
      </c>
      <c r="G12" s="55"/>
      <c r="H12" s="56"/>
      <c r="I12" s="57"/>
      <c r="J12" s="55"/>
      <c r="K12" s="56"/>
      <c r="L12" s="57"/>
      <c r="M12" s="55"/>
      <c r="N12" s="56"/>
      <c r="O12" s="57"/>
    </row>
    <row r="13" spans="1:15" ht="18" thickTop="1" thickBot="1">
      <c r="A13" s="110"/>
      <c r="B13" s="111"/>
      <c r="C13" s="112"/>
      <c r="D13" s="113"/>
      <c r="E13" s="111"/>
      <c r="F13" s="112"/>
      <c r="G13" s="113"/>
      <c r="H13" s="111"/>
      <c r="I13" s="112"/>
      <c r="J13" s="113"/>
      <c r="K13" s="111"/>
      <c r="L13" s="112"/>
      <c r="M13" s="113"/>
      <c r="N13" s="111"/>
      <c r="O13" s="112"/>
    </row>
    <row r="14" spans="1:15" s="3" customFormat="1" ht="17.25" thickTop="1">
      <c r="A14" s="45" t="s">
        <v>83</v>
      </c>
      <c r="B14" s="46" t="s">
        <v>188</v>
      </c>
      <c r="C14" s="47" t="s">
        <v>0</v>
      </c>
      <c r="D14" s="45" t="s">
        <v>204</v>
      </c>
      <c r="E14" s="46" t="s">
        <v>188</v>
      </c>
      <c r="F14" s="47" t="s">
        <v>64</v>
      </c>
      <c r="G14" s="45" t="s">
        <v>84</v>
      </c>
      <c r="H14" s="46" t="s">
        <v>188</v>
      </c>
      <c r="I14" s="47" t="s">
        <v>0</v>
      </c>
      <c r="J14" s="45" t="s">
        <v>85</v>
      </c>
      <c r="K14" s="46" t="s">
        <v>188</v>
      </c>
      <c r="L14" s="47" t="s">
        <v>64</v>
      </c>
      <c r="M14" s="45" t="s">
        <v>86</v>
      </c>
      <c r="N14" s="46" t="s">
        <v>188</v>
      </c>
      <c r="O14" s="47" t="s">
        <v>0</v>
      </c>
    </row>
    <row r="15" spans="1:15" s="3" customFormat="1">
      <c r="A15" s="48" t="s">
        <v>187</v>
      </c>
      <c r="B15" s="106">
        <v>142134</v>
      </c>
      <c r="C15" s="49">
        <v>1</v>
      </c>
      <c r="D15" s="48" t="s">
        <v>187</v>
      </c>
      <c r="E15" s="106">
        <v>655423</v>
      </c>
      <c r="F15" s="49">
        <v>1</v>
      </c>
      <c r="G15" s="48" t="s">
        <v>187</v>
      </c>
      <c r="H15" s="106">
        <v>131740</v>
      </c>
      <c r="I15" s="49">
        <v>1</v>
      </c>
      <c r="J15" s="48" t="s">
        <v>187</v>
      </c>
      <c r="K15" s="106">
        <v>366055</v>
      </c>
      <c r="L15" s="49">
        <v>1</v>
      </c>
      <c r="M15" s="48" t="s">
        <v>187</v>
      </c>
      <c r="N15" s="106">
        <v>258411</v>
      </c>
      <c r="O15" s="49">
        <v>1</v>
      </c>
    </row>
    <row r="16" spans="1:15">
      <c r="A16" s="50" t="s">
        <v>200</v>
      </c>
      <c r="B16" s="136">
        <v>41855</v>
      </c>
      <c r="C16" s="137">
        <v>0.29447563566775015</v>
      </c>
      <c r="D16" s="50" t="s">
        <v>201</v>
      </c>
      <c r="E16" s="136">
        <v>306365</v>
      </c>
      <c r="F16" s="137">
        <v>0.46743095680194319</v>
      </c>
      <c r="G16" s="50" t="s">
        <v>205</v>
      </c>
      <c r="H16" s="136">
        <v>59632</v>
      </c>
      <c r="I16" s="137">
        <v>0.45264915743130407</v>
      </c>
      <c r="J16" s="50" t="s">
        <v>208</v>
      </c>
      <c r="K16" s="136">
        <v>188174</v>
      </c>
      <c r="L16" s="137">
        <v>0.51405936266408059</v>
      </c>
      <c r="M16" s="50" t="s">
        <v>87</v>
      </c>
      <c r="N16" s="136">
        <v>120363</v>
      </c>
      <c r="O16" s="137">
        <v>0.46578125544191229</v>
      </c>
    </row>
    <row r="17" spans="1:15">
      <c r="A17" s="50" t="s">
        <v>199</v>
      </c>
      <c r="B17" s="136">
        <v>40503</v>
      </c>
      <c r="C17" s="137">
        <v>0.28496348516188946</v>
      </c>
      <c r="D17" s="50" t="s">
        <v>202</v>
      </c>
      <c r="E17" s="136">
        <v>301535</v>
      </c>
      <c r="F17" s="137">
        <v>0.46006167009702131</v>
      </c>
      <c r="G17" s="50" t="s">
        <v>206</v>
      </c>
      <c r="H17" s="136">
        <v>57490</v>
      </c>
      <c r="I17" s="137">
        <v>0.43638985881281311</v>
      </c>
      <c r="J17" s="50" t="s">
        <v>209</v>
      </c>
      <c r="K17" s="136">
        <v>122873</v>
      </c>
      <c r="L17" s="137">
        <v>0.33566813730177159</v>
      </c>
      <c r="M17" s="50" t="s">
        <v>88</v>
      </c>
      <c r="N17" s="136">
        <v>81720</v>
      </c>
      <c r="O17" s="137">
        <v>0.3162404077225815</v>
      </c>
    </row>
    <row r="18" spans="1:15">
      <c r="A18" s="50" t="s">
        <v>360</v>
      </c>
      <c r="B18" s="136">
        <v>40448</v>
      </c>
      <c r="C18" s="137">
        <v>0.28457652637651792</v>
      </c>
      <c r="D18" s="50" t="s">
        <v>203</v>
      </c>
      <c r="E18" s="136">
        <v>12302</v>
      </c>
      <c r="F18" s="137">
        <v>1.8769557980113608E-2</v>
      </c>
      <c r="G18" s="50"/>
      <c r="H18" s="136"/>
      <c r="I18" s="137"/>
      <c r="J18" s="50" t="s">
        <v>207</v>
      </c>
      <c r="K18" s="136">
        <v>22768</v>
      </c>
      <c r="L18" s="137">
        <v>6.2198303533621997E-2</v>
      </c>
      <c r="M18" s="50" t="s">
        <v>89</v>
      </c>
      <c r="N18" s="136">
        <v>34959</v>
      </c>
      <c r="O18" s="137">
        <v>0.13528448866340828</v>
      </c>
    </row>
    <row r="19" spans="1:15" ht="19.5">
      <c r="A19" s="121" t="s">
        <v>407</v>
      </c>
      <c r="B19" s="136"/>
      <c r="C19" s="137"/>
      <c r="D19" s="50"/>
      <c r="E19" s="136"/>
      <c r="F19" s="137"/>
      <c r="G19" s="50"/>
      <c r="H19" s="136"/>
      <c r="I19" s="137"/>
      <c r="J19" s="50" t="s">
        <v>210</v>
      </c>
      <c r="K19" s="136">
        <v>16540</v>
      </c>
      <c r="L19" s="137">
        <v>4.5184466815096094E-2</v>
      </c>
      <c r="M19" s="50" t="s">
        <v>90</v>
      </c>
      <c r="N19" s="136">
        <v>15025</v>
      </c>
      <c r="O19" s="137">
        <v>5.8143809667545114E-2</v>
      </c>
    </row>
    <row r="20" spans="1:15" ht="20.25" thickBot="1">
      <c r="A20" s="55"/>
      <c r="B20" s="140"/>
      <c r="C20" s="141"/>
      <c r="D20" s="55"/>
      <c r="E20" s="56"/>
      <c r="F20" s="57"/>
      <c r="G20" s="55"/>
      <c r="H20" s="56"/>
      <c r="I20" s="57"/>
      <c r="J20" s="58" t="s">
        <v>225</v>
      </c>
      <c r="K20" s="56"/>
      <c r="L20" s="57"/>
      <c r="M20" s="55"/>
      <c r="N20" s="56"/>
      <c r="O20" s="57"/>
    </row>
    <row r="21" spans="1:15" ht="18" thickTop="1" thickBot="1">
      <c r="A21" s="9"/>
      <c r="B21" s="6"/>
      <c r="C21" s="17"/>
      <c r="D21" s="9"/>
      <c r="E21" s="6"/>
      <c r="F21" s="17"/>
      <c r="G21" s="9"/>
      <c r="H21" s="6"/>
      <c r="I21" s="17"/>
      <c r="J21" s="9"/>
      <c r="K21" s="6"/>
      <c r="L21" s="17"/>
      <c r="M21" s="9"/>
      <c r="N21" s="6"/>
      <c r="O21" s="17"/>
    </row>
    <row r="22" spans="1:15" s="3" customFormat="1" ht="17.25" thickTop="1">
      <c r="A22" s="45" t="s">
        <v>91</v>
      </c>
      <c r="B22" s="59" t="s">
        <v>188</v>
      </c>
      <c r="C22" s="60" t="s">
        <v>0</v>
      </c>
      <c r="D22" s="45" t="s">
        <v>92</v>
      </c>
      <c r="E22" s="59" t="s">
        <v>188</v>
      </c>
      <c r="F22" s="60" t="s">
        <v>64</v>
      </c>
      <c r="G22" s="45" t="s">
        <v>93</v>
      </c>
      <c r="H22" s="59" t="s">
        <v>188</v>
      </c>
      <c r="I22" s="60" t="s">
        <v>0</v>
      </c>
      <c r="J22" s="45" t="s">
        <v>226</v>
      </c>
      <c r="K22" s="59" t="s">
        <v>188</v>
      </c>
      <c r="L22" s="60" t="s">
        <v>64</v>
      </c>
      <c r="M22" s="45" t="s">
        <v>227</v>
      </c>
      <c r="N22" s="59" t="s">
        <v>188</v>
      </c>
      <c r="O22" s="47" t="s">
        <v>0</v>
      </c>
    </row>
    <row r="23" spans="1:15" s="3" customFormat="1">
      <c r="A23" s="48" t="s">
        <v>187</v>
      </c>
      <c r="B23" s="114">
        <v>817201</v>
      </c>
      <c r="C23" s="61">
        <v>1</v>
      </c>
      <c r="D23" s="48" t="s">
        <v>187</v>
      </c>
      <c r="E23" s="114">
        <v>204694</v>
      </c>
      <c r="F23" s="61">
        <v>1</v>
      </c>
      <c r="G23" s="48" t="s">
        <v>187</v>
      </c>
      <c r="H23" s="114">
        <v>412181</v>
      </c>
      <c r="I23" s="61">
        <v>1</v>
      </c>
      <c r="J23" s="48" t="s">
        <v>187</v>
      </c>
      <c r="K23" s="115">
        <v>399259</v>
      </c>
      <c r="L23" s="61">
        <v>1</v>
      </c>
      <c r="M23" s="48" t="s">
        <v>357</v>
      </c>
      <c r="N23" s="62">
        <v>324378</v>
      </c>
      <c r="O23" s="49">
        <v>1</v>
      </c>
    </row>
    <row r="24" spans="1:15">
      <c r="A24" s="50" t="s">
        <v>211</v>
      </c>
      <c r="B24" s="142">
        <v>476546</v>
      </c>
      <c r="C24" s="143">
        <v>0.58314417138500807</v>
      </c>
      <c r="D24" s="50" t="s">
        <v>214</v>
      </c>
      <c r="E24" s="142">
        <v>130179</v>
      </c>
      <c r="F24" s="143">
        <v>0.63596881198276456</v>
      </c>
      <c r="G24" s="50" t="s">
        <v>216</v>
      </c>
      <c r="H24" s="142">
        <v>375230</v>
      </c>
      <c r="I24" s="143">
        <v>0.91035249077468394</v>
      </c>
      <c r="J24" s="50" t="s">
        <v>218</v>
      </c>
      <c r="K24" s="144">
        <v>398645</v>
      </c>
      <c r="L24" s="145">
        <f>(K24/K23)</f>
        <v>0.99846215113497749</v>
      </c>
      <c r="M24" s="50" t="s">
        <v>219</v>
      </c>
      <c r="N24" s="63">
        <v>307566</v>
      </c>
      <c r="O24" s="52">
        <f>(N24/N23)</f>
        <v>0.94817157760390658</v>
      </c>
    </row>
    <row r="25" spans="1:15">
      <c r="A25" s="50" t="s">
        <v>212</v>
      </c>
      <c r="B25" s="142">
        <v>302038</v>
      </c>
      <c r="C25" s="143">
        <v>0.369600624570944</v>
      </c>
      <c r="D25" s="50" t="s">
        <v>215</v>
      </c>
      <c r="E25" s="142">
        <v>68696</v>
      </c>
      <c r="F25" s="143">
        <v>0.33560338847254928</v>
      </c>
      <c r="G25" s="50" t="s">
        <v>217</v>
      </c>
      <c r="H25" s="142">
        <v>35056</v>
      </c>
      <c r="I25" s="143">
        <v>8.5050014435405802E-2</v>
      </c>
      <c r="J25" s="50"/>
      <c r="K25" s="64"/>
      <c r="L25" s="65"/>
      <c r="M25" s="50"/>
      <c r="N25" s="64"/>
      <c r="O25" s="52"/>
    </row>
    <row r="26" spans="1:15" ht="17.25" thickBot="1">
      <c r="A26" s="55" t="s">
        <v>213</v>
      </c>
      <c r="B26" s="146">
        <v>25738</v>
      </c>
      <c r="C26" s="147">
        <v>3.1495311435008035E-2</v>
      </c>
      <c r="D26" s="55"/>
      <c r="E26" s="146"/>
      <c r="F26" s="147"/>
      <c r="G26" s="55"/>
      <c r="H26" s="66"/>
      <c r="I26" s="67"/>
      <c r="J26" s="55"/>
      <c r="K26" s="66"/>
      <c r="L26" s="67"/>
      <c r="M26" s="55"/>
      <c r="N26" s="66"/>
      <c r="O26" s="57"/>
    </row>
    <row r="27" spans="1:15" ht="18" thickTop="1" thickBot="1">
      <c r="A27" s="10"/>
      <c r="B27" s="5"/>
      <c r="C27" s="16"/>
      <c r="D27" s="11"/>
      <c r="E27" s="6"/>
      <c r="F27" s="17"/>
      <c r="G27" s="11"/>
      <c r="H27" s="6"/>
      <c r="I27" s="17"/>
      <c r="J27" s="11"/>
      <c r="K27" s="6"/>
      <c r="L27" s="17"/>
      <c r="M27" s="11"/>
      <c r="N27" s="6"/>
      <c r="O27" s="17"/>
    </row>
    <row r="28" spans="1:15" s="3" customFormat="1" ht="17.25" thickTop="1">
      <c r="A28" s="68" t="s">
        <v>94</v>
      </c>
      <c r="B28" s="69" t="s">
        <v>186</v>
      </c>
      <c r="C28" s="70" t="s">
        <v>0</v>
      </c>
      <c r="D28" s="68" t="s">
        <v>95</v>
      </c>
      <c r="E28" s="69" t="s">
        <v>186</v>
      </c>
      <c r="F28" s="70" t="s">
        <v>0</v>
      </c>
      <c r="G28" s="68" t="s">
        <v>96</v>
      </c>
      <c r="H28" s="69" t="s">
        <v>186</v>
      </c>
      <c r="I28" s="70" t="s">
        <v>0</v>
      </c>
      <c r="J28" s="68" t="s">
        <v>97</v>
      </c>
      <c r="K28" s="69" t="s">
        <v>186</v>
      </c>
      <c r="L28" s="70" t="s">
        <v>0</v>
      </c>
      <c r="M28" s="68" t="s">
        <v>98</v>
      </c>
      <c r="N28" s="69" t="s">
        <v>186</v>
      </c>
      <c r="O28" s="70" t="s">
        <v>0</v>
      </c>
    </row>
    <row r="29" spans="1:15" s="3" customFormat="1">
      <c r="A29" s="48" t="s">
        <v>187</v>
      </c>
      <c r="B29" s="106">
        <v>280680</v>
      </c>
      <c r="C29" s="49">
        <v>1</v>
      </c>
      <c r="D29" s="48" t="s">
        <v>187</v>
      </c>
      <c r="E29" s="106">
        <v>343133</v>
      </c>
      <c r="F29" s="49">
        <v>1</v>
      </c>
      <c r="G29" s="48" t="s">
        <v>187</v>
      </c>
      <c r="H29" s="106">
        <v>793150</v>
      </c>
      <c r="I29" s="49">
        <v>1</v>
      </c>
      <c r="J29" s="48" t="s">
        <v>187</v>
      </c>
      <c r="K29" s="106">
        <v>116852</v>
      </c>
      <c r="L29" s="49">
        <v>1</v>
      </c>
      <c r="M29" s="48" t="s">
        <v>187</v>
      </c>
      <c r="N29" s="106">
        <v>229121</v>
      </c>
      <c r="O29" s="49">
        <v>1</v>
      </c>
    </row>
    <row r="30" spans="1:15">
      <c r="A30" s="50" t="s">
        <v>220</v>
      </c>
      <c r="B30" s="136">
        <v>149727</v>
      </c>
      <c r="C30" s="137">
        <v>0.53344377939290299</v>
      </c>
      <c r="D30" s="50" t="s">
        <v>223</v>
      </c>
      <c r="E30" s="136">
        <v>248100</v>
      </c>
      <c r="F30" s="137">
        <v>0.72304325145060366</v>
      </c>
      <c r="G30" s="50" t="s">
        <v>99</v>
      </c>
      <c r="H30" s="136">
        <v>790621</v>
      </c>
      <c r="I30" s="137">
        <v>0.99681144802370292</v>
      </c>
      <c r="J30" s="148" t="s">
        <v>100</v>
      </c>
      <c r="K30" s="136">
        <v>65500</v>
      </c>
      <c r="L30" s="137">
        <v>0.5605381165919282</v>
      </c>
      <c r="M30" s="50" t="s">
        <v>101</v>
      </c>
      <c r="N30" s="136">
        <v>203883</v>
      </c>
      <c r="O30" s="137">
        <v>0.88984859528371474</v>
      </c>
    </row>
    <row r="31" spans="1:15">
      <c r="A31" s="50" t="s">
        <v>221</v>
      </c>
      <c r="B31" s="136">
        <v>69544</v>
      </c>
      <c r="C31" s="137">
        <v>0.24776970215191677</v>
      </c>
      <c r="D31" s="50" t="s">
        <v>224</v>
      </c>
      <c r="E31" s="136">
        <v>93616</v>
      </c>
      <c r="F31" s="137">
        <v>0.27282715448528705</v>
      </c>
      <c r="G31" s="50"/>
      <c r="H31" s="71"/>
      <c r="I31" s="52"/>
      <c r="J31" s="148" t="s">
        <v>102</v>
      </c>
      <c r="K31" s="136">
        <v>48387</v>
      </c>
      <c r="L31" s="137">
        <v>0.41408790606921575</v>
      </c>
      <c r="M31" s="50" t="s">
        <v>103</v>
      </c>
      <c r="N31" s="136">
        <v>20467</v>
      </c>
      <c r="O31" s="137">
        <v>8.9328346157707059E-2</v>
      </c>
    </row>
    <row r="32" spans="1:15">
      <c r="A32" s="50" t="s">
        <v>222</v>
      </c>
      <c r="B32" s="108">
        <v>33734</v>
      </c>
      <c r="C32" s="109">
        <v>0.1201866894684338</v>
      </c>
      <c r="D32" s="50"/>
      <c r="E32" s="71"/>
      <c r="F32" s="52"/>
      <c r="G32" s="50"/>
      <c r="H32" s="71"/>
      <c r="I32" s="52"/>
      <c r="J32" s="50"/>
      <c r="K32" s="71"/>
      <c r="L32" s="52"/>
      <c r="M32" s="50"/>
      <c r="N32" s="108"/>
      <c r="O32" s="109"/>
    </row>
    <row r="33" spans="1:15" ht="20.25" thickBot="1">
      <c r="A33" s="72" t="s">
        <v>183</v>
      </c>
      <c r="B33" s="73"/>
      <c r="C33" s="74"/>
      <c r="D33" s="75"/>
      <c r="E33" s="73"/>
      <c r="F33" s="74"/>
      <c r="G33" s="76"/>
      <c r="H33" s="73"/>
      <c r="I33" s="77"/>
      <c r="J33" s="76"/>
      <c r="K33" s="73"/>
      <c r="L33" s="77"/>
      <c r="M33" s="76"/>
      <c r="N33" s="73"/>
      <c r="O33" s="77"/>
    </row>
    <row r="34" spans="1:15" ht="18" thickTop="1" thickBot="1">
      <c r="A34" s="10"/>
      <c r="B34" s="5"/>
      <c r="C34" s="16"/>
      <c r="D34" s="11"/>
      <c r="E34" s="6"/>
      <c r="F34" s="17"/>
      <c r="G34" s="11"/>
      <c r="H34" s="6"/>
      <c r="I34" s="17"/>
      <c r="J34" s="11"/>
      <c r="K34" s="6"/>
      <c r="L34" s="17"/>
      <c r="M34" s="11"/>
      <c r="N34" s="6"/>
      <c r="O34" s="17"/>
    </row>
    <row r="35" spans="1:15" s="3" customFormat="1" ht="17.25" thickTop="1">
      <c r="A35" s="68" t="s">
        <v>104</v>
      </c>
      <c r="B35" s="69" t="s">
        <v>186</v>
      </c>
      <c r="C35" s="70" t="s">
        <v>0</v>
      </c>
      <c r="D35" s="68" t="s">
        <v>105</v>
      </c>
      <c r="E35" s="69" t="s">
        <v>186</v>
      </c>
      <c r="F35" s="70" t="s">
        <v>0</v>
      </c>
      <c r="G35" s="68" t="s">
        <v>106</v>
      </c>
      <c r="H35" s="69" t="s">
        <v>186</v>
      </c>
      <c r="I35" s="70" t="s">
        <v>0</v>
      </c>
      <c r="J35" s="68" t="s">
        <v>107</v>
      </c>
      <c r="K35" s="69" t="s">
        <v>186</v>
      </c>
      <c r="L35" s="70" t="s">
        <v>0</v>
      </c>
      <c r="M35" s="68" t="s">
        <v>108</v>
      </c>
      <c r="N35" s="69" t="s">
        <v>186</v>
      </c>
      <c r="O35" s="70" t="s">
        <v>0</v>
      </c>
    </row>
    <row r="36" spans="1:15" s="3" customFormat="1">
      <c r="A36" s="48" t="s">
        <v>187</v>
      </c>
      <c r="B36" s="106">
        <v>148965</v>
      </c>
      <c r="C36" s="49">
        <v>1</v>
      </c>
      <c r="D36" s="48" t="s">
        <v>187</v>
      </c>
      <c r="E36" s="106">
        <v>171929</v>
      </c>
      <c r="F36" s="49">
        <v>1</v>
      </c>
      <c r="G36" s="48" t="s">
        <v>187</v>
      </c>
      <c r="H36" s="106">
        <v>685338</v>
      </c>
      <c r="I36" s="49">
        <v>1</v>
      </c>
      <c r="J36" s="48" t="s">
        <v>187</v>
      </c>
      <c r="K36" s="106">
        <v>230442</v>
      </c>
      <c r="L36" s="49">
        <v>1</v>
      </c>
      <c r="M36" s="48" t="s">
        <v>187</v>
      </c>
      <c r="N36" s="106">
        <v>1501217</v>
      </c>
      <c r="O36" s="49">
        <v>1</v>
      </c>
    </row>
    <row r="37" spans="1:15">
      <c r="A37" s="50" t="s">
        <v>228</v>
      </c>
      <c r="B37" s="136">
        <v>118635</v>
      </c>
      <c r="C37" s="137">
        <v>0.79639512637196652</v>
      </c>
      <c r="D37" s="50" t="s">
        <v>229</v>
      </c>
      <c r="E37" s="136">
        <v>170352</v>
      </c>
      <c r="F37" s="137">
        <v>0.99082760907118639</v>
      </c>
      <c r="G37" s="50" t="s">
        <v>230</v>
      </c>
      <c r="H37" s="136">
        <v>309258</v>
      </c>
      <c r="I37" s="137">
        <v>0.45124887281895942</v>
      </c>
      <c r="J37" s="50" t="s">
        <v>234</v>
      </c>
      <c r="K37" s="136">
        <v>134735</v>
      </c>
      <c r="L37" s="137">
        <v>0.58468074396160419</v>
      </c>
      <c r="M37" s="50" t="s">
        <v>236</v>
      </c>
      <c r="N37" s="136">
        <v>1416198</v>
      </c>
      <c r="O37" s="137">
        <v>0.94336661521951859</v>
      </c>
    </row>
    <row r="38" spans="1:15">
      <c r="A38" s="50"/>
      <c r="B38" s="136"/>
      <c r="C38" s="137"/>
      <c r="D38" s="50"/>
      <c r="E38" s="71"/>
      <c r="F38" s="52"/>
      <c r="G38" s="50" t="s">
        <v>231</v>
      </c>
      <c r="H38" s="136">
        <v>243580</v>
      </c>
      <c r="I38" s="137">
        <v>0.35541586779078355</v>
      </c>
      <c r="J38" s="50" t="s">
        <v>235</v>
      </c>
      <c r="K38" s="136">
        <v>93395</v>
      </c>
      <c r="L38" s="137">
        <v>0.40528636272901641</v>
      </c>
      <c r="M38" s="50" t="s">
        <v>237</v>
      </c>
      <c r="N38" s="136">
        <v>57828</v>
      </c>
      <c r="O38" s="137">
        <v>3.8520746834068628E-2</v>
      </c>
    </row>
    <row r="39" spans="1:15">
      <c r="A39" s="50"/>
      <c r="B39" s="136"/>
      <c r="C39" s="137"/>
      <c r="D39" s="50"/>
      <c r="E39" s="71"/>
      <c r="F39" s="52"/>
      <c r="G39" s="50" t="s">
        <v>232</v>
      </c>
      <c r="H39" s="136">
        <v>91377</v>
      </c>
      <c r="I39" s="137">
        <v>0.13333129054568696</v>
      </c>
      <c r="J39" s="50"/>
      <c r="K39" s="71"/>
      <c r="L39" s="52"/>
      <c r="M39" s="50" t="s">
        <v>238</v>
      </c>
      <c r="N39" s="136">
        <v>24578</v>
      </c>
      <c r="O39" s="137">
        <v>1.6372050143317055E-2</v>
      </c>
    </row>
    <row r="40" spans="1:15" ht="17.25" thickBot="1">
      <c r="A40" s="55"/>
      <c r="B40" s="140"/>
      <c r="C40" s="141"/>
      <c r="D40" s="55"/>
      <c r="E40" s="123"/>
      <c r="F40" s="57"/>
      <c r="G40" s="55" t="s">
        <v>233</v>
      </c>
      <c r="H40" s="140">
        <v>20875</v>
      </c>
      <c r="I40" s="141">
        <v>3.0459422941672577E-2</v>
      </c>
      <c r="J40" s="55"/>
      <c r="K40" s="123"/>
      <c r="L40" s="57"/>
      <c r="M40" s="55"/>
      <c r="N40" s="123"/>
      <c r="O40" s="57"/>
    </row>
    <row r="41" spans="1:15" ht="18" thickTop="1" thickBot="1">
      <c r="A41" s="10"/>
      <c r="B41" s="6"/>
      <c r="C41" s="17"/>
      <c r="D41" s="11"/>
      <c r="E41" s="6"/>
      <c r="F41" s="17"/>
      <c r="G41" s="12"/>
      <c r="H41" s="5"/>
      <c r="I41" s="16"/>
      <c r="J41" s="11"/>
      <c r="K41" s="6"/>
      <c r="L41" s="17"/>
      <c r="M41" s="11"/>
      <c r="N41" s="6"/>
      <c r="O41" s="17"/>
    </row>
    <row r="42" spans="1:15" s="3" customFormat="1" ht="17.25" thickTop="1">
      <c r="A42" s="68" t="s">
        <v>109</v>
      </c>
      <c r="B42" s="69" t="s">
        <v>186</v>
      </c>
      <c r="C42" s="70" t="s">
        <v>0</v>
      </c>
      <c r="D42" s="68" t="s">
        <v>110</v>
      </c>
      <c r="E42" s="69" t="s">
        <v>186</v>
      </c>
      <c r="F42" s="70" t="s">
        <v>0</v>
      </c>
      <c r="G42" s="68" t="s">
        <v>111</v>
      </c>
      <c r="H42" s="69" t="s">
        <v>186</v>
      </c>
      <c r="I42" s="70" t="s">
        <v>0</v>
      </c>
      <c r="J42" s="68" t="s">
        <v>112</v>
      </c>
      <c r="K42" s="69" t="s">
        <v>186</v>
      </c>
      <c r="L42" s="70" t="s">
        <v>0</v>
      </c>
      <c r="M42" s="68" t="s">
        <v>113</v>
      </c>
      <c r="N42" s="69" t="s">
        <v>186</v>
      </c>
      <c r="O42" s="70" t="s">
        <v>0</v>
      </c>
    </row>
    <row r="43" spans="1:15" s="3" customFormat="1">
      <c r="A43" s="48" t="s">
        <v>187</v>
      </c>
      <c r="B43" s="106">
        <v>1938277</v>
      </c>
      <c r="C43" s="49">
        <v>1</v>
      </c>
      <c r="D43" s="48" t="s">
        <v>187</v>
      </c>
      <c r="E43" s="106">
        <v>212104</v>
      </c>
      <c r="F43" s="49">
        <v>1</v>
      </c>
      <c r="G43" s="48" t="s">
        <v>187</v>
      </c>
      <c r="H43" s="106">
        <v>459512</v>
      </c>
      <c r="I43" s="49">
        <v>1</v>
      </c>
      <c r="J43" s="48" t="s">
        <v>187</v>
      </c>
      <c r="K43" s="106">
        <v>252866</v>
      </c>
      <c r="L43" s="49">
        <v>1</v>
      </c>
      <c r="M43" s="48" t="s">
        <v>187</v>
      </c>
      <c r="N43" s="106">
        <v>286837</v>
      </c>
      <c r="O43" s="49">
        <v>1</v>
      </c>
    </row>
    <row r="44" spans="1:15">
      <c r="A44" s="78" t="s">
        <v>239</v>
      </c>
      <c r="B44" s="136">
        <v>1935464</v>
      </c>
      <c r="C44" s="137">
        <v>0.99854871104594445</v>
      </c>
      <c r="D44" s="78" t="s">
        <v>240</v>
      </c>
      <c r="E44" s="136">
        <v>133917</v>
      </c>
      <c r="F44" s="137">
        <v>0.63137423150907102</v>
      </c>
      <c r="G44" s="78" t="s">
        <v>242</v>
      </c>
      <c r="H44" s="136">
        <v>209343</v>
      </c>
      <c r="I44" s="137">
        <v>0.45557678580755234</v>
      </c>
      <c r="J44" s="78" t="s">
        <v>246</v>
      </c>
      <c r="K44" s="136">
        <v>243268</v>
      </c>
      <c r="L44" s="137">
        <v>0.96204313747202075</v>
      </c>
      <c r="M44" s="78" t="s">
        <v>247</v>
      </c>
      <c r="N44" s="136">
        <v>263240</v>
      </c>
      <c r="O44" s="137">
        <v>0.91773376516976546</v>
      </c>
    </row>
    <row r="45" spans="1:15">
      <c r="A45" s="78"/>
      <c r="B45" s="79"/>
      <c r="C45" s="80"/>
      <c r="D45" s="78" t="s">
        <v>241</v>
      </c>
      <c r="E45" s="136">
        <v>68747</v>
      </c>
      <c r="F45" s="137">
        <v>0.32411929996605437</v>
      </c>
      <c r="G45" s="78" t="s">
        <v>243</v>
      </c>
      <c r="H45" s="136">
        <v>163062</v>
      </c>
      <c r="I45" s="137">
        <v>0.35485906788070826</v>
      </c>
      <c r="J45" s="78"/>
      <c r="K45" s="79"/>
      <c r="L45" s="80"/>
      <c r="M45" s="78" t="s">
        <v>248</v>
      </c>
      <c r="N45" s="136">
        <v>14011</v>
      </c>
      <c r="O45" s="137">
        <v>4.884655745249044E-2</v>
      </c>
    </row>
    <row r="46" spans="1:15" ht="19.5">
      <c r="A46" s="78"/>
      <c r="B46" s="79"/>
      <c r="C46" s="80"/>
      <c r="D46" s="104" t="s">
        <v>361</v>
      </c>
      <c r="E46" s="136"/>
      <c r="F46" s="137"/>
      <c r="G46" s="78" t="s">
        <v>244</v>
      </c>
      <c r="H46" s="136">
        <v>59574</v>
      </c>
      <c r="I46" s="137">
        <v>0.12964623339542819</v>
      </c>
      <c r="J46" s="78"/>
      <c r="K46" s="79"/>
      <c r="L46" s="80"/>
      <c r="M46" s="78"/>
      <c r="N46" s="136"/>
      <c r="O46" s="137"/>
    </row>
    <row r="47" spans="1:15" ht="17.25" thickBot="1">
      <c r="A47" s="75"/>
      <c r="B47" s="73"/>
      <c r="C47" s="74"/>
      <c r="D47" s="72"/>
      <c r="E47" s="73"/>
      <c r="F47" s="74"/>
      <c r="G47" s="75" t="s">
        <v>245</v>
      </c>
      <c r="H47" s="140">
        <v>11793</v>
      </c>
      <c r="I47" s="141">
        <v>2.566418287226449E-2</v>
      </c>
      <c r="J47" s="75"/>
      <c r="K47" s="73"/>
      <c r="L47" s="74"/>
      <c r="M47" s="75"/>
      <c r="N47" s="73"/>
      <c r="O47" s="74"/>
    </row>
    <row r="48" spans="1:15" ht="18" thickTop="1" thickBot="1">
      <c r="A48" s="10"/>
      <c r="B48" s="6"/>
      <c r="C48" s="17"/>
      <c r="D48" s="11"/>
      <c r="E48" s="6"/>
      <c r="F48" s="17"/>
      <c r="G48" s="12"/>
      <c r="H48" s="5"/>
      <c r="I48" s="16"/>
      <c r="J48" s="11"/>
      <c r="K48" s="6"/>
      <c r="L48" s="17"/>
      <c r="M48" s="11"/>
      <c r="N48" s="6"/>
      <c r="O48" s="17"/>
    </row>
    <row r="49" spans="1:15" s="3" customFormat="1" ht="17.25" thickTop="1">
      <c r="A49" s="81" t="s">
        <v>114</v>
      </c>
      <c r="B49" s="82" t="s">
        <v>186</v>
      </c>
      <c r="C49" s="83" t="s">
        <v>0</v>
      </c>
      <c r="D49" s="81" t="s">
        <v>115</v>
      </c>
      <c r="E49" s="82" t="s">
        <v>186</v>
      </c>
      <c r="F49" s="83" t="s">
        <v>0</v>
      </c>
      <c r="G49" s="81" t="s">
        <v>116</v>
      </c>
      <c r="H49" s="82" t="s">
        <v>186</v>
      </c>
      <c r="I49" s="83" t="s">
        <v>0</v>
      </c>
      <c r="J49" s="81" t="s">
        <v>117</v>
      </c>
      <c r="K49" s="82" t="s">
        <v>186</v>
      </c>
      <c r="L49" s="83" t="s">
        <v>0</v>
      </c>
      <c r="M49" s="81" t="s">
        <v>118</v>
      </c>
      <c r="N49" s="82" t="s">
        <v>186</v>
      </c>
      <c r="O49" s="83" t="s">
        <v>0</v>
      </c>
    </row>
    <row r="50" spans="1:15" s="3" customFormat="1">
      <c r="A50" s="84" t="s">
        <v>187</v>
      </c>
      <c r="B50" s="116">
        <v>219595</v>
      </c>
      <c r="C50" s="85">
        <v>1</v>
      </c>
      <c r="D50" s="84" t="s">
        <v>187</v>
      </c>
      <c r="E50" s="116">
        <v>113138</v>
      </c>
      <c r="F50" s="85">
        <v>1</v>
      </c>
      <c r="G50" s="84" t="s">
        <v>187</v>
      </c>
      <c r="H50" s="116">
        <v>927889</v>
      </c>
      <c r="I50" s="85">
        <v>1</v>
      </c>
      <c r="J50" s="84" t="s">
        <v>187</v>
      </c>
      <c r="K50" s="116">
        <v>740921</v>
      </c>
      <c r="L50" s="85">
        <v>1</v>
      </c>
      <c r="M50" s="84" t="s">
        <v>187</v>
      </c>
      <c r="N50" s="116">
        <v>765698</v>
      </c>
      <c r="O50" s="85">
        <v>1</v>
      </c>
    </row>
    <row r="51" spans="1:15">
      <c r="A51" s="86" t="s">
        <v>249</v>
      </c>
      <c r="B51" s="149">
        <v>217761</v>
      </c>
      <c r="C51" s="150">
        <v>0.99164826157244013</v>
      </c>
      <c r="D51" s="86" t="s">
        <v>250</v>
      </c>
      <c r="E51" s="149">
        <v>77243</v>
      </c>
      <c r="F51" s="150">
        <v>0.68273259205571957</v>
      </c>
      <c r="G51" s="86" t="s">
        <v>252</v>
      </c>
      <c r="H51" s="149">
        <v>925082</v>
      </c>
      <c r="I51" s="150">
        <v>0.99697485367323035</v>
      </c>
      <c r="J51" s="86" t="s">
        <v>253</v>
      </c>
      <c r="K51" s="149">
        <v>726357</v>
      </c>
      <c r="L51" s="150">
        <v>0.98034338343764049</v>
      </c>
      <c r="M51" s="86" t="s">
        <v>254</v>
      </c>
      <c r="N51" s="149">
        <v>515474</v>
      </c>
      <c r="O51" s="150">
        <v>0.67320797494573581</v>
      </c>
    </row>
    <row r="52" spans="1:15">
      <c r="A52" s="86"/>
      <c r="B52" s="87"/>
      <c r="C52" s="88"/>
      <c r="D52" s="86" t="s">
        <v>251</v>
      </c>
      <c r="E52" s="149">
        <v>34513</v>
      </c>
      <c r="F52" s="150">
        <v>0.30505223709098622</v>
      </c>
      <c r="G52" s="86"/>
      <c r="H52" s="87"/>
      <c r="I52" s="88"/>
      <c r="J52" s="86"/>
      <c r="K52" s="149"/>
      <c r="L52" s="150"/>
      <c r="M52" s="86" t="s">
        <v>255</v>
      </c>
      <c r="N52" s="149">
        <v>186835</v>
      </c>
      <c r="O52" s="150">
        <v>0.24400612251827744</v>
      </c>
    </row>
    <row r="53" spans="1:15">
      <c r="A53" s="86"/>
      <c r="B53" s="87"/>
      <c r="C53" s="88"/>
      <c r="D53" s="86"/>
      <c r="E53" s="87"/>
      <c r="F53" s="88"/>
      <c r="G53" s="86"/>
      <c r="H53" s="87"/>
      <c r="I53" s="88"/>
      <c r="J53" s="86"/>
      <c r="K53" s="87"/>
      <c r="L53" s="88"/>
      <c r="M53" s="86" t="s">
        <v>256</v>
      </c>
      <c r="N53" s="149">
        <v>17106</v>
      </c>
      <c r="O53" s="150">
        <v>2.2340400523443969E-2</v>
      </c>
    </row>
    <row r="54" spans="1:15">
      <c r="A54" s="86"/>
      <c r="B54" s="87"/>
      <c r="C54" s="88"/>
      <c r="D54" s="86"/>
      <c r="E54" s="87"/>
      <c r="F54" s="88"/>
      <c r="G54" s="86"/>
      <c r="H54" s="87"/>
      <c r="I54" s="88"/>
      <c r="J54" s="86"/>
      <c r="K54" s="87"/>
      <c r="L54" s="88"/>
      <c r="M54" s="86" t="s">
        <v>257</v>
      </c>
      <c r="N54" s="149">
        <v>11067</v>
      </c>
      <c r="O54" s="150">
        <v>1.4453479047875271E-2</v>
      </c>
    </row>
    <row r="55" spans="1:15" ht="20.25" thickBot="1">
      <c r="A55" s="89"/>
      <c r="B55" s="90"/>
      <c r="C55" s="91"/>
      <c r="D55" s="89"/>
      <c r="E55" s="90"/>
      <c r="F55" s="91"/>
      <c r="G55" s="89"/>
      <c r="H55" s="90"/>
      <c r="I55" s="91"/>
      <c r="J55" s="92"/>
      <c r="K55" s="90"/>
      <c r="L55" s="93"/>
      <c r="M55" s="94" t="s">
        <v>408</v>
      </c>
      <c r="N55" s="90"/>
      <c r="O55" s="93"/>
    </row>
    <row r="56" spans="1:15" ht="18" thickTop="1" thickBot="1">
      <c r="A56" s="10"/>
      <c r="B56" s="6"/>
      <c r="C56" s="17"/>
      <c r="D56" s="11"/>
      <c r="E56" s="6"/>
      <c r="F56" s="17"/>
      <c r="G56" s="11"/>
      <c r="H56" s="6"/>
      <c r="I56" s="17"/>
      <c r="J56" s="11"/>
      <c r="K56" s="6"/>
      <c r="L56" s="17"/>
      <c r="M56" s="14"/>
      <c r="N56" s="5"/>
      <c r="O56" s="22"/>
    </row>
    <row r="57" spans="1:15" s="3" customFormat="1" ht="17.25" thickTop="1">
      <c r="A57" s="68" t="s">
        <v>119</v>
      </c>
      <c r="B57" s="69" t="s">
        <v>186</v>
      </c>
      <c r="C57" s="70" t="s">
        <v>0</v>
      </c>
      <c r="D57" s="68" t="s">
        <v>120</v>
      </c>
      <c r="E57" s="69" t="s">
        <v>186</v>
      </c>
      <c r="F57" s="70" t="s">
        <v>0</v>
      </c>
      <c r="G57" s="68" t="s">
        <v>121</v>
      </c>
      <c r="H57" s="69" t="s">
        <v>186</v>
      </c>
      <c r="I57" s="70" t="s">
        <v>0</v>
      </c>
      <c r="J57" s="68" t="s">
        <v>122</v>
      </c>
      <c r="K57" s="69" t="s">
        <v>186</v>
      </c>
      <c r="L57" s="70" t="s">
        <v>0</v>
      </c>
      <c r="M57" s="68" t="s">
        <v>123</v>
      </c>
      <c r="N57" s="69" t="s">
        <v>186</v>
      </c>
      <c r="O57" s="70" t="s">
        <v>0</v>
      </c>
    </row>
    <row r="58" spans="1:15" s="3" customFormat="1">
      <c r="A58" s="48" t="s">
        <v>187</v>
      </c>
      <c r="B58" s="106">
        <v>1316917</v>
      </c>
      <c r="C58" s="49">
        <v>1</v>
      </c>
      <c r="D58" s="48" t="s">
        <v>187</v>
      </c>
      <c r="E58" s="106">
        <v>247482</v>
      </c>
      <c r="F58" s="49">
        <v>1</v>
      </c>
      <c r="G58" s="48" t="s">
        <v>187</v>
      </c>
      <c r="H58" s="106">
        <v>1637023</v>
      </c>
      <c r="I58" s="49">
        <v>1</v>
      </c>
      <c r="J58" s="48" t="s">
        <v>187</v>
      </c>
      <c r="K58" s="106">
        <v>354617</v>
      </c>
      <c r="L58" s="49">
        <v>1</v>
      </c>
      <c r="M58" s="48" t="s">
        <v>187</v>
      </c>
      <c r="N58" s="106">
        <v>424173</v>
      </c>
      <c r="O58" s="49">
        <v>1</v>
      </c>
    </row>
    <row r="59" spans="1:15">
      <c r="A59" s="78" t="s">
        <v>258</v>
      </c>
      <c r="B59" s="136">
        <v>811029</v>
      </c>
      <c r="C59" s="137">
        <v>0.61585430213141756</v>
      </c>
      <c r="D59" s="78" t="s">
        <v>362</v>
      </c>
      <c r="E59" s="136">
        <v>77164</v>
      </c>
      <c r="F59" s="137">
        <v>0.31179641347653569</v>
      </c>
      <c r="G59" s="78" t="s">
        <v>260</v>
      </c>
      <c r="H59" s="136">
        <v>944530</v>
      </c>
      <c r="I59" s="137">
        <v>0.57698028677666713</v>
      </c>
      <c r="J59" s="78" t="s">
        <v>366</v>
      </c>
      <c r="K59" s="136">
        <v>304093</v>
      </c>
      <c r="L59" s="137">
        <v>0.85752516094829068</v>
      </c>
      <c r="M59" s="78" t="s">
        <v>263</v>
      </c>
      <c r="N59" s="136">
        <v>351113</v>
      </c>
      <c r="O59" s="137">
        <v>0.82775895684072298</v>
      </c>
    </row>
    <row r="60" spans="1:15">
      <c r="A60" s="78" t="s">
        <v>259</v>
      </c>
      <c r="B60" s="136">
        <v>490912</v>
      </c>
      <c r="C60" s="137">
        <v>0.37277368277575579</v>
      </c>
      <c r="D60" s="78" t="s">
        <v>363</v>
      </c>
      <c r="E60" s="136">
        <v>72648</v>
      </c>
      <c r="F60" s="137">
        <v>0.2935486217179431</v>
      </c>
      <c r="G60" s="78" t="s">
        <v>261</v>
      </c>
      <c r="H60" s="136">
        <v>652515</v>
      </c>
      <c r="I60" s="137">
        <v>0.39859855359393243</v>
      </c>
      <c r="J60" s="78" t="s">
        <v>367</v>
      </c>
      <c r="K60" s="136">
        <v>16448</v>
      </c>
      <c r="L60" s="137">
        <v>4.6382435134243422E-2</v>
      </c>
      <c r="M60" s="78" t="s">
        <v>403</v>
      </c>
      <c r="N60" s="79">
        <v>72347</v>
      </c>
      <c r="O60" s="80">
        <v>0.17056012523192188</v>
      </c>
    </row>
    <row r="61" spans="1:15">
      <c r="A61" s="78"/>
      <c r="B61" s="79"/>
      <c r="C61" s="80"/>
      <c r="D61" s="78" t="s">
        <v>364</v>
      </c>
      <c r="E61" s="136">
        <v>53126</v>
      </c>
      <c r="F61" s="137">
        <v>0.21466611713175099</v>
      </c>
      <c r="G61" s="78" t="s">
        <v>262</v>
      </c>
      <c r="H61" s="136">
        <v>16857</v>
      </c>
      <c r="I61" s="137">
        <v>1.0297350739726931E-2</v>
      </c>
      <c r="J61" s="78" t="s">
        <v>368</v>
      </c>
      <c r="K61" s="79">
        <v>16317</v>
      </c>
      <c r="L61" s="80">
        <v>4.6013022500331346E-2</v>
      </c>
      <c r="M61" s="78"/>
      <c r="N61" s="79"/>
      <c r="O61" s="80"/>
    </row>
    <row r="62" spans="1:15" ht="17.25" thickBot="1">
      <c r="A62" s="75"/>
      <c r="B62" s="73"/>
      <c r="C62" s="74"/>
      <c r="D62" s="75" t="s">
        <v>365</v>
      </c>
      <c r="E62" s="140">
        <v>34170</v>
      </c>
      <c r="F62" s="141">
        <v>0.13807064756224696</v>
      </c>
      <c r="G62" s="75"/>
      <c r="H62" s="73"/>
      <c r="I62" s="74"/>
      <c r="J62" s="75" t="s">
        <v>369</v>
      </c>
      <c r="K62" s="73">
        <v>14393</v>
      </c>
      <c r="L62" s="74">
        <v>4.0587450686233317E-2</v>
      </c>
      <c r="M62" s="75"/>
      <c r="N62" s="73"/>
      <c r="O62" s="74"/>
    </row>
    <row r="63" spans="1:15" ht="18" thickTop="1" thickBot="1">
      <c r="A63" s="9"/>
      <c r="B63" s="6"/>
      <c r="C63" s="17"/>
      <c r="D63" s="9"/>
      <c r="E63" s="6"/>
      <c r="F63" s="17"/>
      <c r="G63" s="9"/>
      <c r="H63" s="6"/>
      <c r="I63" s="17"/>
      <c r="J63" s="9"/>
      <c r="K63" s="6"/>
      <c r="L63" s="17"/>
      <c r="M63" s="9"/>
      <c r="N63" s="6"/>
      <c r="O63" s="17"/>
    </row>
    <row r="64" spans="1:15" s="3" customFormat="1" ht="17.25" thickTop="1">
      <c r="A64" s="95" t="s">
        <v>124</v>
      </c>
      <c r="B64" s="96" t="s">
        <v>186</v>
      </c>
      <c r="C64" s="97" t="s">
        <v>0</v>
      </c>
      <c r="D64" s="98" t="s">
        <v>125</v>
      </c>
      <c r="E64" s="96" t="s">
        <v>186</v>
      </c>
      <c r="F64" s="97" t="s">
        <v>0</v>
      </c>
      <c r="G64" s="98" t="s">
        <v>126</v>
      </c>
      <c r="H64" s="96" t="s">
        <v>186</v>
      </c>
      <c r="I64" s="97" t="s">
        <v>0</v>
      </c>
      <c r="J64" s="98" t="s">
        <v>127</v>
      </c>
      <c r="K64" s="96" t="s">
        <v>186</v>
      </c>
      <c r="L64" s="97" t="s">
        <v>0</v>
      </c>
      <c r="M64" s="98" t="s">
        <v>128</v>
      </c>
      <c r="N64" s="96" t="s">
        <v>186</v>
      </c>
      <c r="O64" s="83" t="s">
        <v>0</v>
      </c>
    </row>
    <row r="65" spans="1:15" s="3" customFormat="1">
      <c r="A65" s="99" t="s">
        <v>187</v>
      </c>
      <c r="B65" s="114">
        <v>1866303</v>
      </c>
      <c r="C65" s="61">
        <v>1</v>
      </c>
      <c r="D65" s="48" t="s">
        <v>187</v>
      </c>
      <c r="E65" s="114">
        <v>1413801</v>
      </c>
      <c r="F65" s="61">
        <v>1</v>
      </c>
      <c r="G65" s="48" t="s">
        <v>187</v>
      </c>
      <c r="H65" s="114">
        <v>1545645</v>
      </c>
      <c r="I65" s="61">
        <v>1</v>
      </c>
      <c r="J65" s="48" t="s">
        <v>187</v>
      </c>
      <c r="K65" s="114">
        <v>863651</v>
      </c>
      <c r="L65" s="61">
        <v>1</v>
      </c>
      <c r="M65" s="48" t="s">
        <v>187</v>
      </c>
      <c r="N65" s="114">
        <v>392738</v>
      </c>
      <c r="O65" s="85">
        <v>1</v>
      </c>
    </row>
    <row r="66" spans="1:15">
      <c r="A66" s="100" t="s">
        <v>264</v>
      </c>
      <c r="B66" s="142">
        <v>1063469</v>
      </c>
      <c r="C66" s="143">
        <v>0.56982655013682126</v>
      </c>
      <c r="D66" s="78" t="s">
        <v>370</v>
      </c>
      <c r="E66" s="142">
        <v>692592</v>
      </c>
      <c r="F66" s="143">
        <v>0.48987941018573333</v>
      </c>
      <c r="G66" s="78" t="s">
        <v>266</v>
      </c>
      <c r="H66" s="142">
        <v>984136</v>
      </c>
      <c r="I66" s="143">
        <v>0.63671541654131447</v>
      </c>
      <c r="J66" s="78" t="s">
        <v>373</v>
      </c>
      <c r="K66" s="142">
        <v>807000</v>
      </c>
      <c r="L66" s="143">
        <v>0.9344052169221132</v>
      </c>
      <c r="M66" s="78" t="s">
        <v>376</v>
      </c>
      <c r="N66" s="142">
        <v>334720</v>
      </c>
      <c r="O66" s="150">
        <v>0.85227301661667576</v>
      </c>
    </row>
    <row r="67" spans="1:15">
      <c r="A67" s="100" t="s">
        <v>265</v>
      </c>
      <c r="B67" s="142">
        <v>799371</v>
      </c>
      <c r="C67" s="143">
        <v>0.42831790979278284</v>
      </c>
      <c r="D67" s="78" t="s">
        <v>371</v>
      </c>
      <c r="E67" s="142">
        <v>689399</v>
      </c>
      <c r="F67" s="143">
        <v>0.4876209593853732</v>
      </c>
      <c r="G67" s="78" t="s">
        <v>258</v>
      </c>
      <c r="H67" s="142">
        <v>554737</v>
      </c>
      <c r="I67" s="143">
        <v>0.35890324104176574</v>
      </c>
      <c r="J67" s="78" t="s">
        <v>374</v>
      </c>
      <c r="K67" s="142">
        <v>27642</v>
      </c>
      <c r="L67" s="143">
        <v>3.2005983898588664E-2</v>
      </c>
      <c r="M67" s="78" t="s">
        <v>377</v>
      </c>
      <c r="N67" s="142">
        <v>20440</v>
      </c>
      <c r="O67" s="150">
        <v>5.2044874700181799E-2</v>
      </c>
    </row>
    <row r="68" spans="1:15" ht="17.25" thickBot="1">
      <c r="A68" s="124"/>
      <c r="B68" s="101"/>
      <c r="C68" s="103"/>
      <c r="D68" s="102" t="s">
        <v>372</v>
      </c>
      <c r="E68" s="151">
        <v>22858</v>
      </c>
      <c r="F68" s="152">
        <v>1.6167763355663209E-2</v>
      </c>
      <c r="G68" s="102"/>
      <c r="H68" s="101"/>
      <c r="I68" s="103"/>
      <c r="J68" s="102" t="s">
        <v>375</v>
      </c>
      <c r="K68" s="151">
        <v>11647</v>
      </c>
      <c r="L68" s="152">
        <v>1.3485771451662767E-2</v>
      </c>
      <c r="M68" s="102" t="s">
        <v>378</v>
      </c>
      <c r="N68" s="151">
        <v>19383</v>
      </c>
      <c r="O68" s="153">
        <v>4.9353513029042263E-2</v>
      </c>
    </row>
    <row r="69" spans="1:15" ht="18" thickTop="1" thickBot="1">
      <c r="A69" s="10"/>
      <c r="B69" s="5"/>
      <c r="C69" s="16"/>
      <c r="D69" s="11"/>
      <c r="E69" s="6"/>
      <c r="F69" s="17"/>
      <c r="G69" s="11"/>
      <c r="H69" s="6"/>
      <c r="I69" s="17"/>
      <c r="J69" s="11"/>
      <c r="K69" s="6"/>
      <c r="L69" s="17"/>
      <c r="M69" s="11"/>
      <c r="N69" s="6"/>
      <c r="O69" s="17"/>
    </row>
    <row r="70" spans="1:15" s="3" customFormat="1" ht="17.25" thickTop="1">
      <c r="A70" s="68" t="s">
        <v>129</v>
      </c>
      <c r="B70" s="69" t="s">
        <v>186</v>
      </c>
      <c r="C70" s="70" t="s">
        <v>0</v>
      </c>
      <c r="D70" s="68" t="s">
        <v>130</v>
      </c>
      <c r="E70" s="69" t="s">
        <v>186</v>
      </c>
      <c r="F70" s="70" t="s">
        <v>0</v>
      </c>
      <c r="G70" s="68" t="s">
        <v>131</v>
      </c>
      <c r="H70" s="69" t="s">
        <v>186</v>
      </c>
      <c r="I70" s="70" t="s">
        <v>0</v>
      </c>
      <c r="J70" s="68" t="s">
        <v>132</v>
      </c>
      <c r="K70" s="69" t="s">
        <v>186</v>
      </c>
      <c r="L70" s="70" t="s">
        <v>0</v>
      </c>
      <c r="M70" s="68" t="s">
        <v>133</v>
      </c>
      <c r="N70" s="69" t="s">
        <v>186</v>
      </c>
      <c r="O70" s="70" t="s">
        <v>0</v>
      </c>
    </row>
    <row r="71" spans="1:15" s="3" customFormat="1">
      <c r="A71" s="48" t="s">
        <v>187</v>
      </c>
      <c r="B71" s="106">
        <v>189243</v>
      </c>
      <c r="C71" s="49">
        <v>1</v>
      </c>
      <c r="D71" s="48" t="s">
        <v>187</v>
      </c>
      <c r="E71" s="106">
        <v>679558</v>
      </c>
      <c r="F71" s="49">
        <v>1</v>
      </c>
      <c r="G71" s="48" t="s">
        <v>187</v>
      </c>
      <c r="H71" s="106">
        <v>372439</v>
      </c>
      <c r="I71" s="49">
        <v>1</v>
      </c>
      <c r="J71" s="48" t="s">
        <v>187</v>
      </c>
      <c r="K71" s="106">
        <v>131019</v>
      </c>
      <c r="L71" s="49">
        <v>1</v>
      </c>
      <c r="M71" s="48" t="s">
        <v>187</v>
      </c>
      <c r="N71" s="106">
        <v>1332434</v>
      </c>
      <c r="O71" s="49">
        <v>1</v>
      </c>
    </row>
    <row r="72" spans="1:15">
      <c r="A72" s="78" t="s">
        <v>267</v>
      </c>
      <c r="B72" s="136">
        <v>115973</v>
      </c>
      <c r="C72" s="137">
        <v>0.61282583767959709</v>
      </c>
      <c r="D72" s="148" t="s">
        <v>341</v>
      </c>
      <c r="E72" s="136">
        <v>438540</v>
      </c>
      <c r="F72" s="137">
        <v>0.64533123000538584</v>
      </c>
      <c r="G72" s="78" t="s">
        <v>269</v>
      </c>
      <c r="H72" s="136">
        <v>353081</v>
      </c>
      <c r="I72" s="137">
        <v>0.94802370321045859</v>
      </c>
      <c r="J72" s="78" t="s">
        <v>270</v>
      </c>
      <c r="K72" s="136">
        <v>129986</v>
      </c>
      <c r="L72" s="137">
        <v>0.99212785766008071</v>
      </c>
      <c r="M72" s="78" t="s">
        <v>271</v>
      </c>
      <c r="N72" s="136">
        <v>1112460</v>
      </c>
      <c r="O72" s="137">
        <v>0.83490814554416959</v>
      </c>
    </row>
    <row r="73" spans="1:15">
      <c r="A73" s="78" t="s">
        <v>268</v>
      </c>
      <c r="B73" s="136">
        <v>71831</v>
      </c>
      <c r="C73" s="137">
        <v>0.37957018225244793</v>
      </c>
      <c r="D73" s="148" t="s">
        <v>342</v>
      </c>
      <c r="E73" s="136">
        <v>239842</v>
      </c>
      <c r="F73" s="137">
        <v>0.35293823338110947</v>
      </c>
      <c r="G73" s="78"/>
      <c r="H73" s="136"/>
      <c r="I73" s="137"/>
      <c r="J73" s="78"/>
      <c r="K73" s="79"/>
      <c r="L73" s="80"/>
      <c r="M73" s="78" t="s">
        <v>272</v>
      </c>
      <c r="N73" s="136">
        <v>103007</v>
      </c>
      <c r="O73" s="137">
        <v>7.7307393837143148E-2</v>
      </c>
    </row>
    <row r="74" spans="1:15" ht="19.5">
      <c r="A74" s="104" t="s">
        <v>184</v>
      </c>
      <c r="B74" s="79"/>
      <c r="C74" s="80"/>
      <c r="D74" s="78"/>
      <c r="E74" s="79"/>
      <c r="F74" s="80"/>
      <c r="G74" s="78"/>
      <c r="H74" s="136"/>
      <c r="I74" s="137"/>
      <c r="J74" s="78"/>
      <c r="K74" s="79"/>
      <c r="L74" s="80"/>
      <c r="M74" s="78" t="s">
        <v>273</v>
      </c>
      <c r="N74" s="136">
        <v>55098</v>
      </c>
      <c r="O74" s="137">
        <v>4.1351391513575905E-2</v>
      </c>
    </row>
    <row r="75" spans="1:15">
      <c r="A75" s="78"/>
      <c r="B75" s="79"/>
      <c r="C75" s="80"/>
      <c r="D75" s="78"/>
      <c r="E75" s="79"/>
      <c r="F75" s="80"/>
      <c r="G75" s="78"/>
      <c r="H75" s="79"/>
      <c r="I75" s="80"/>
      <c r="J75" s="78"/>
      <c r="K75" s="79"/>
      <c r="L75" s="80"/>
      <c r="M75" s="78" t="s">
        <v>274</v>
      </c>
      <c r="N75" s="136">
        <v>24904</v>
      </c>
      <c r="O75" s="137">
        <v>1.8690606814296244E-2</v>
      </c>
    </row>
    <row r="76" spans="1:15" ht="17.25" thickBot="1">
      <c r="A76" s="75"/>
      <c r="B76" s="73"/>
      <c r="C76" s="74"/>
      <c r="D76" s="75"/>
      <c r="E76" s="73"/>
      <c r="F76" s="74"/>
      <c r="G76" s="75"/>
      <c r="H76" s="73"/>
      <c r="I76" s="74"/>
      <c r="J76" s="75"/>
      <c r="K76" s="73"/>
      <c r="L76" s="74"/>
      <c r="M76" s="75" t="s">
        <v>275</v>
      </c>
      <c r="N76" s="140">
        <v>14089</v>
      </c>
      <c r="O76" s="141">
        <v>1.0573882083465297E-2</v>
      </c>
    </row>
    <row r="77" spans="1:15" ht="18" thickTop="1" thickBot="1">
      <c r="A77" s="9"/>
      <c r="B77" s="6"/>
      <c r="C77" s="17"/>
      <c r="D77" s="9"/>
      <c r="E77" s="6"/>
      <c r="F77" s="17"/>
      <c r="G77" s="9"/>
      <c r="H77" s="6"/>
      <c r="I77" s="17"/>
      <c r="J77" s="9"/>
      <c r="K77" s="6"/>
      <c r="L77" s="17"/>
      <c r="M77" s="9"/>
      <c r="N77" s="6"/>
      <c r="O77" s="17"/>
    </row>
    <row r="78" spans="1:15" s="3" customFormat="1" ht="17.25" thickTop="1">
      <c r="A78" s="68" t="s">
        <v>134</v>
      </c>
      <c r="B78" s="69" t="s">
        <v>186</v>
      </c>
      <c r="C78" s="70" t="s">
        <v>0</v>
      </c>
      <c r="D78" s="68" t="s">
        <v>135</v>
      </c>
      <c r="E78" s="69" t="s">
        <v>186</v>
      </c>
      <c r="F78" s="70" t="s">
        <v>0</v>
      </c>
      <c r="G78" s="68" t="s">
        <v>136</v>
      </c>
      <c r="H78" s="69" t="s">
        <v>186</v>
      </c>
      <c r="I78" s="70" t="s">
        <v>0</v>
      </c>
      <c r="J78" s="68" t="s">
        <v>137</v>
      </c>
      <c r="K78" s="69" t="s">
        <v>186</v>
      </c>
      <c r="L78" s="70" t="s">
        <v>0</v>
      </c>
      <c r="M78" s="68" t="s">
        <v>138</v>
      </c>
      <c r="N78" s="69" t="s">
        <v>186</v>
      </c>
      <c r="O78" s="70" t="s">
        <v>0</v>
      </c>
    </row>
    <row r="79" spans="1:15" s="3" customFormat="1">
      <c r="A79" s="48" t="s">
        <v>187</v>
      </c>
      <c r="B79" s="105">
        <v>186363</v>
      </c>
      <c r="C79" s="49">
        <v>1</v>
      </c>
      <c r="D79" s="48" t="s">
        <v>187</v>
      </c>
      <c r="E79" s="106">
        <v>3298965</v>
      </c>
      <c r="F79" s="49">
        <v>1</v>
      </c>
      <c r="G79" s="48" t="s">
        <v>187</v>
      </c>
      <c r="H79" s="106">
        <v>483850</v>
      </c>
      <c r="I79" s="49">
        <v>1</v>
      </c>
      <c r="J79" s="48" t="s">
        <v>187</v>
      </c>
      <c r="K79" s="106">
        <v>146499</v>
      </c>
      <c r="L79" s="49">
        <v>1</v>
      </c>
      <c r="M79" s="48" t="s">
        <v>187</v>
      </c>
      <c r="N79" s="106">
        <v>812172</v>
      </c>
      <c r="O79" s="49">
        <v>1</v>
      </c>
    </row>
    <row r="80" spans="1:15">
      <c r="A80" s="148" t="s">
        <v>343</v>
      </c>
      <c r="B80" s="136">
        <v>116793</v>
      </c>
      <c r="C80" s="137">
        <v>0.62669628628000196</v>
      </c>
      <c r="D80" s="78" t="s">
        <v>276</v>
      </c>
      <c r="E80" s="136">
        <v>2628441</v>
      </c>
      <c r="F80" s="137">
        <v>0.79674716160977765</v>
      </c>
      <c r="G80" s="148" t="s">
        <v>346</v>
      </c>
      <c r="H80" s="136">
        <v>390901</v>
      </c>
      <c r="I80" s="137">
        <v>0.80789707553994006</v>
      </c>
      <c r="J80" s="78" t="s">
        <v>280</v>
      </c>
      <c r="K80" s="136">
        <v>93824</v>
      </c>
      <c r="L80" s="137">
        <v>0.64044123168076228</v>
      </c>
      <c r="M80" s="78" t="s">
        <v>282</v>
      </c>
      <c r="N80" s="136">
        <v>677515</v>
      </c>
      <c r="O80" s="137">
        <v>0.83420137606319844</v>
      </c>
    </row>
    <row r="81" spans="1:15">
      <c r="A81" s="148" t="s">
        <v>345</v>
      </c>
      <c r="B81" s="136">
        <v>20200</v>
      </c>
      <c r="C81" s="137">
        <v>0.10839061401673079</v>
      </c>
      <c r="D81" s="78" t="s">
        <v>277</v>
      </c>
      <c r="E81" s="136">
        <v>615328</v>
      </c>
      <c r="F81" s="137">
        <v>0.18652153023751389</v>
      </c>
      <c r="G81" s="148" t="s">
        <v>355</v>
      </c>
      <c r="H81" s="136">
        <v>37313</v>
      </c>
      <c r="I81" s="137">
        <v>7.711687506458613E-2</v>
      </c>
      <c r="J81" s="78" t="s">
        <v>281</v>
      </c>
      <c r="K81" s="136">
        <v>51149</v>
      </c>
      <c r="L81" s="137">
        <v>0.34914231496460729</v>
      </c>
      <c r="M81" s="78" t="s">
        <v>283</v>
      </c>
      <c r="N81" s="136">
        <v>85719</v>
      </c>
      <c r="O81" s="137">
        <v>0.10554291455504498</v>
      </c>
    </row>
    <row r="82" spans="1:15">
      <c r="A82" s="148" t="s">
        <v>344</v>
      </c>
      <c r="B82" s="136">
        <v>18354</v>
      </c>
      <c r="C82" s="137">
        <v>9.848521433975628E-2</v>
      </c>
      <c r="D82" s="78" t="s">
        <v>278</v>
      </c>
      <c r="E82" s="136">
        <v>33643</v>
      </c>
      <c r="F82" s="137">
        <v>1.0198046963214221E-2</v>
      </c>
      <c r="G82" s="148" t="s">
        <v>347</v>
      </c>
      <c r="H82" s="136">
        <v>18986</v>
      </c>
      <c r="I82" s="137">
        <v>3.9239433708794048E-2</v>
      </c>
      <c r="J82" s="78"/>
      <c r="K82" s="79"/>
      <c r="L82" s="80"/>
      <c r="M82" s="78" t="s">
        <v>284</v>
      </c>
      <c r="N82" s="136">
        <v>33840</v>
      </c>
      <c r="O82" s="137">
        <v>4.1666051033524922E-2</v>
      </c>
    </row>
    <row r="83" spans="1:15" ht="17.25" thickBot="1">
      <c r="A83" s="154"/>
      <c r="B83" s="140"/>
      <c r="C83" s="141"/>
      <c r="D83" s="75"/>
      <c r="E83" s="140"/>
      <c r="F83" s="141"/>
      <c r="G83" s="75" t="s">
        <v>379</v>
      </c>
      <c r="H83" s="73">
        <v>11491</v>
      </c>
      <c r="I83" s="74">
        <v>2.374909579415108E-2</v>
      </c>
      <c r="J83" s="75"/>
      <c r="K83" s="73"/>
      <c r="L83" s="74"/>
      <c r="M83" s="75"/>
      <c r="N83" s="73"/>
      <c r="O83" s="74"/>
    </row>
    <row r="84" spans="1:15" ht="18" thickTop="1" thickBot="1">
      <c r="A84" s="10"/>
      <c r="B84" s="5"/>
      <c r="C84" s="16"/>
      <c r="D84" s="11"/>
      <c r="E84" s="6"/>
      <c r="F84" s="17"/>
      <c r="G84" s="11"/>
      <c r="H84" s="6"/>
      <c r="I84" s="17"/>
      <c r="J84" s="11"/>
      <c r="K84" s="6"/>
      <c r="L84" s="17"/>
      <c r="M84" s="11"/>
      <c r="N84" s="6"/>
      <c r="O84" s="17"/>
    </row>
    <row r="85" spans="1:15" s="3" customFormat="1" ht="17.25" thickTop="1">
      <c r="A85" s="68" t="s">
        <v>139</v>
      </c>
      <c r="B85" s="69" t="s">
        <v>186</v>
      </c>
      <c r="C85" s="70" t="s">
        <v>0</v>
      </c>
      <c r="D85" s="68" t="s">
        <v>140</v>
      </c>
      <c r="E85" s="69" t="s">
        <v>186</v>
      </c>
      <c r="F85" s="70" t="s">
        <v>0</v>
      </c>
      <c r="G85" s="68" t="s">
        <v>141</v>
      </c>
      <c r="H85" s="69" t="s">
        <v>186</v>
      </c>
      <c r="I85" s="70" t="s">
        <v>0</v>
      </c>
      <c r="J85" s="68" t="s">
        <v>142</v>
      </c>
      <c r="K85" s="69" t="s">
        <v>186</v>
      </c>
      <c r="L85" s="70" t="s">
        <v>0</v>
      </c>
      <c r="M85" s="68" t="s">
        <v>143</v>
      </c>
      <c r="N85" s="69" t="s">
        <v>186</v>
      </c>
      <c r="O85" s="70" t="s">
        <v>0</v>
      </c>
    </row>
    <row r="86" spans="1:15" s="3" customFormat="1">
      <c r="A86" s="48" t="s">
        <v>187</v>
      </c>
      <c r="B86" s="106">
        <v>141145</v>
      </c>
      <c r="C86" s="49">
        <v>1</v>
      </c>
      <c r="D86" s="48" t="s">
        <v>187</v>
      </c>
      <c r="E86" s="106">
        <v>807735</v>
      </c>
      <c r="F86" s="49">
        <v>1</v>
      </c>
      <c r="G86" s="48" t="s">
        <v>187</v>
      </c>
      <c r="H86" s="106">
        <v>1114818</v>
      </c>
      <c r="I86" s="49">
        <v>1</v>
      </c>
      <c r="J86" s="48" t="s">
        <v>187</v>
      </c>
      <c r="K86" s="106">
        <v>298043</v>
      </c>
      <c r="L86" s="49">
        <v>1</v>
      </c>
      <c r="M86" s="48" t="s">
        <v>187</v>
      </c>
      <c r="N86" s="106">
        <v>177952</v>
      </c>
      <c r="O86" s="49">
        <v>1</v>
      </c>
    </row>
    <row r="87" spans="1:15">
      <c r="A87" s="78" t="s">
        <v>285</v>
      </c>
      <c r="B87" s="136">
        <v>136487</v>
      </c>
      <c r="C87" s="137">
        <v>0.96699847674377415</v>
      </c>
      <c r="D87" s="78" t="s">
        <v>279</v>
      </c>
      <c r="E87" s="136">
        <v>767099</v>
      </c>
      <c r="F87" s="137">
        <v>0.94969142107250526</v>
      </c>
      <c r="G87" s="78" t="s">
        <v>286</v>
      </c>
      <c r="H87" s="136">
        <v>1028104</v>
      </c>
      <c r="I87" s="137">
        <v>0.92221689997829237</v>
      </c>
      <c r="J87" s="148" t="s">
        <v>348</v>
      </c>
      <c r="K87" s="136">
        <v>173115</v>
      </c>
      <c r="L87" s="137">
        <v>0.58083900645208908</v>
      </c>
      <c r="M87" s="78" t="s">
        <v>380</v>
      </c>
      <c r="N87" s="136">
        <v>97408</v>
      </c>
      <c r="O87" s="137">
        <v>0.54738356410717492</v>
      </c>
    </row>
    <row r="88" spans="1:15">
      <c r="A88" s="78"/>
      <c r="B88" s="136"/>
      <c r="C88" s="137"/>
      <c r="D88" s="78" t="s">
        <v>276</v>
      </c>
      <c r="E88" s="136">
        <v>35019</v>
      </c>
      <c r="F88" s="137">
        <v>4.3354565544392654E-2</v>
      </c>
      <c r="G88" s="78" t="s">
        <v>287</v>
      </c>
      <c r="H88" s="136">
        <v>81498</v>
      </c>
      <c r="I88" s="137">
        <v>7.3104309402969817E-2</v>
      </c>
      <c r="J88" s="148" t="s">
        <v>349</v>
      </c>
      <c r="K88" s="136">
        <v>103559</v>
      </c>
      <c r="L88" s="137">
        <v>0.34746328549907229</v>
      </c>
      <c r="M88" s="78" t="s">
        <v>381</v>
      </c>
      <c r="N88" s="136">
        <v>60499</v>
      </c>
      <c r="O88" s="137">
        <v>0.33997370077324224</v>
      </c>
    </row>
    <row r="89" spans="1:15" ht="17.25" thickBot="1">
      <c r="A89" s="75"/>
      <c r="B89" s="73"/>
      <c r="C89" s="74"/>
      <c r="D89" s="75"/>
      <c r="E89" s="73"/>
      <c r="F89" s="74"/>
      <c r="G89" s="75"/>
      <c r="H89" s="73"/>
      <c r="I89" s="74"/>
      <c r="J89" s="154"/>
      <c r="K89" s="140"/>
      <c r="L89" s="141"/>
      <c r="M89" s="75" t="s">
        <v>382</v>
      </c>
      <c r="N89" s="140">
        <v>12913</v>
      </c>
      <c r="O89" s="141">
        <v>7.2564511778457116E-2</v>
      </c>
    </row>
    <row r="90" spans="1:15" ht="18" thickTop="1" thickBot="1">
      <c r="A90" s="9"/>
      <c r="B90" s="6"/>
      <c r="C90" s="17"/>
      <c r="D90" s="9"/>
      <c r="E90" s="6"/>
      <c r="F90" s="17"/>
      <c r="G90" s="9"/>
      <c r="H90" s="6"/>
      <c r="I90" s="17"/>
      <c r="J90" s="9"/>
      <c r="K90" s="6"/>
      <c r="L90" s="17"/>
      <c r="M90" s="9"/>
      <c r="N90" s="6"/>
      <c r="O90" s="17"/>
    </row>
    <row r="91" spans="1:15" s="3" customFormat="1" ht="17.25" thickTop="1">
      <c r="A91" s="68" t="s">
        <v>144</v>
      </c>
      <c r="B91" s="69" t="s">
        <v>186</v>
      </c>
      <c r="C91" s="70" t="s">
        <v>0</v>
      </c>
      <c r="D91" s="68" t="s">
        <v>145</v>
      </c>
      <c r="E91" s="69" t="s">
        <v>186</v>
      </c>
      <c r="F91" s="70" t="s">
        <v>0</v>
      </c>
      <c r="G91" s="68" t="s">
        <v>146</v>
      </c>
      <c r="H91" s="69" t="s">
        <v>186</v>
      </c>
      <c r="I91" s="70" t="s">
        <v>0</v>
      </c>
      <c r="J91" s="68" t="s">
        <v>147</v>
      </c>
      <c r="K91" s="69" t="s">
        <v>186</v>
      </c>
      <c r="L91" s="70" t="s">
        <v>0</v>
      </c>
      <c r="M91" s="68" t="s">
        <v>148</v>
      </c>
      <c r="N91" s="69" t="s">
        <v>186</v>
      </c>
      <c r="O91" s="70" t="s">
        <v>0</v>
      </c>
    </row>
    <row r="92" spans="1:15" s="3" customFormat="1">
      <c r="A92" s="48" t="s">
        <v>187</v>
      </c>
      <c r="B92" s="106">
        <v>156901</v>
      </c>
      <c r="C92" s="49">
        <v>1</v>
      </c>
      <c r="D92" s="48" t="s">
        <v>187</v>
      </c>
      <c r="E92" s="106">
        <v>1141300</v>
      </c>
      <c r="F92" s="49">
        <v>1</v>
      </c>
      <c r="G92" s="48" t="s">
        <v>187</v>
      </c>
      <c r="H92" s="106">
        <v>659741</v>
      </c>
      <c r="I92" s="49">
        <v>1</v>
      </c>
      <c r="J92" s="48" t="s">
        <v>187</v>
      </c>
      <c r="K92" s="106">
        <v>1157716</v>
      </c>
      <c r="L92" s="49">
        <v>1</v>
      </c>
      <c r="M92" s="48" t="s">
        <v>187</v>
      </c>
      <c r="N92" s="106">
        <v>1840818</v>
      </c>
      <c r="O92" s="49">
        <v>1</v>
      </c>
    </row>
    <row r="93" spans="1:15">
      <c r="A93" s="148" t="s">
        <v>350</v>
      </c>
      <c r="B93" s="136">
        <v>107574</v>
      </c>
      <c r="C93" s="137">
        <v>0.68561704514311572</v>
      </c>
      <c r="D93" s="78" t="s">
        <v>288</v>
      </c>
      <c r="E93" s="136">
        <v>1108990</v>
      </c>
      <c r="F93" s="137">
        <v>0.97169017786734424</v>
      </c>
      <c r="G93" s="78" t="s">
        <v>50</v>
      </c>
      <c r="H93" s="136">
        <v>444311</v>
      </c>
      <c r="I93" s="137">
        <v>0.67346276796500448</v>
      </c>
      <c r="J93" s="78" t="s">
        <v>273</v>
      </c>
      <c r="K93" s="136">
        <v>638016</v>
      </c>
      <c r="L93" s="137">
        <v>0.5510988878101365</v>
      </c>
      <c r="M93" s="78" t="s">
        <v>291</v>
      </c>
      <c r="N93" s="136">
        <v>1826540</v>
      </c>
      <c r="O93" s="137">
        <v>0.99224366558779842</v>
      </c>
    </row>
    <row r="94" spans="1:15">
      <c r="A94" s="148" t="s">
        <v>351</v>
      </c>
      <c r="B94" s="136">
        <v>38557</v>
      </c>
      <c r="C94" s="137">
        <v>0.24574094492705592</v>
      </c>
      <c r="D94" s="78" t="s">
        <v>289</v>
      </c>
      <c r="E94" s="136">
        <v>23312</v>
      </c>
      <c r="F94" s="137">
        <v>2.0425830193638833E-2</v>
      </c>
      <c r="G94" s="78" t="s">
        <v>24</v>
      </c>
      <c r="H94" s="136">
        <v>96105</v>
      </c>
      <c r="I94" s="137">
        <v>0.14567080111740818</v>
      </c>
      <c r="J94" s="78" t="s">
        <v>290</v>
      </c>
      <c r="K94" s="136">
        <v>431216</v>
      </c>
      <c r="L94" s="137">
        <v>0.37247131420832053</v>
      </c>
      <c r="M94" s="78"/>
      <c r="N94" s="79"/>
      <c r="O94" s="80"/>
    </row>
    <row r="95" spans="1:15">
      <c r="A95" s="148"/>
      <c r="B95" s="136"/>
      <c r="C95" s="137"/>
      <c r="D95" s="78"/>
      <c r="E95" s="79"/>
      <c r="F95" s="80"/>
      <c r="G95" s="78" t="s">
        <v>23</v>
      </c>
      <c r="H95" s="136">
        <v>94930</v>
      </c>
      <c r="I95" s="137">
        <v>0.14388979917876865</v>
      </c>
      <c r="J95" s="78" t="s">
        <v>272</v>
      </c>
      <c r="K95" s="136">
        <v>85056</v>
      </c>
      <c r="L95" s="137">
        <v>7.3468795455880365E-2</v>
      </c>
      <c r="M95" s="78"/>
      <c r="N95" s="79"/>
      <c r="O95" s="80"/>
    </row>
    <row r="96" spans="1:15" ht="17.25" thickBot="1">
      <c r="A96" s="75"/>
      <c r="B96" s="73"/>
      <c r="C96" s="74"/>
      <c r="D96" s="75"/>
      <c r="E96" s="73"/>
      <c r="F96" s="74"/>
      <c r="G96" s="75" t="s">
        <v>383</v>
      </c>
      <c r="H96" s="140">
        <v>21093</v>
      </c>
      <c r="I96" s="141">
        <v>3.1971637354658876E-2</v>
      </c>
      <c r="J96" s="75"/>
      <c r="K96" s="73"/>
      <c r="L96" s="74"/>
      <c r="M96" s="75"/>
      <c r="N96" s="73"/>
      <c r="O96" s="74"/>
    </row>
    <row r="97" spans="1:15" ht="18" thickTop="1" thickBot="1">
      <c r="A97" s="10"/>
      <c r="B97" s="6"/>
      <c r="C97" s="17"/>
      <c r="D97" s="11"/>
      <c r="E97" s="5"/>
      <c r="F97" s="16"/>
      <c r="G97" s="11"/>
      <c r="H97" s="6"/>
      <c r="I97" s="17"/>
      <c r="J97" s="11"/>
      <c r="K97" s="6"/>
      <c r="L97" s="17"/>
      <c r="M97" s="11"/>
      <c r="N97" s="5"/>
      <c r="O97" s="17"/>
    </row>
    <row r="98" spans="1:15" s="3" customFormat="1" ht="17.25" thickTop="1">
      <c r="A98" s="68" t="s">
        <v>149</v>
      </c>
      <c r="B98" s="69" t="s">
        <v>186</v>
      </c>
      <c r="C98" s="70" t="s">
        <v>0</v>
      </c>
      <c r="D98" s="68" t="s">
        <v>150</v>
      </c>
      <c r="E98" s="69" t="s">
        <v>186</v>
      </c>
      <c r="F98" s="70" t="s">
        <v>0</v>
      </c>
      <c r="G98" s="68" t="s">
        <v>151</v>
      </c>
      <c r="H98" s="69" t="s">
        <v>186</v>
      </c>
      <c r="I98" s="70" t="s">
        <v>0</v>
      </c>
      <c r="J98" s="68" t="s">
        <v>152</v>
      </c>
      <c r="K98" s="69" t="s">
        <v>186</v>
      </c>
      <c r="L98" s="70" t="s">
        <v>0</v>
      </c>
      <c r="M98" s="68" t="s">
        <v>153</v>
      </c>
      <c r="N98" s="69" t="s">
        <v>186</v>
      </c>
      <c r="O98" s="70" t="s">
        <v>0</v>
      </c>
    </row>
    <row r="99" spans="1:15" s="3" customFormat="1">
      <c r="A99" s="48" t="s">
        <v>187</v>
      </c>
      <c r="B99" s="117">
        <v>369044</v>
      </c>
      <c r="C99" s="49">
        <v>1</v>
      </c>
      <c r="D99" s="48" t="s">
        <v>187</v>
      </c>
      <c r="E99" s="106">
        <v>722940</v>
      </c>
      <c r="F99" s="49">
        <v>1</v>
      </c>
      <c r="G99" s="48" t="s">
        <v>187</v>
      </c>
      <c r="H99" s="106">
        <v>348933</v>
      </c>
      <c r="I99" s="49">
        <v>1</v>
      </c>
      <c r="J99" s="48" t="s">
        <v>187</v>
      </c>
      <c r="K99" s="106">
        <v>206448</v>
      </c>
      <c r="L99" s="49">
        <v>1</v>
      </c>
      <c r="M99" s="48" t="s">
        <v>187</v>
      </c>
      <c r="N99" s="106">
        <v>1060037</v>
      </c>
      <c r="O99" s="49">
        <v>1</v>
      </c>
    </row>
    <row r="100" spans="1:15">
      <c r="A100" s="148" t="s">
        <v>7</v>
      </c>
      <c r="B100" s="155">
        <v>137430</v>
      </c>
      <c r="C100" s="137">
        <v>0.37239461961175363</v>
      </c>
      <c r="D100" s="78" t="s">
        <v>292</v>
      </c>
      <c r="E100" s="136">
        <v>716338</v>
      </c>
      <c r="F100" s="137">
        <v>0.99086784518770576</v>
      </c>
      <c r="G100" s="78" t="s">
        <v>293</v>
      </c>
      <c r="H100" s="136">
        <v>331171</v>
      </c>
      <c r="I100" s="137">
        <v>0.94909624483783417</v>
      </c>
      <c r="J100" s="78" t="s">
        <v>20</v>
      </c>
      <c r="K100" s="136">
        <v>151800</v>
      </c>
      <c r="L100" s="137">
        <v>0.73529411764705888</v>
      </c>
      <c r="M100" s="78" t="s">
        <v>295</v>
      </c>
      <c r="N100" s="136">
        <v>1047119</v>
      </c>
      <c r="O100" s="137">
        <v>0.98781363292036029</v>
      </c>
    </row>
    <row r="101" spans="1:15">
      <c r="A101" s="148" t="s">
        <v>352</v>
      </c>
      <c r="B101" s="155">
        <v>74265</v>
      </c>
      <c r="C101" s="137">
        <v>0.20123616696112118</v>
      </c>
      <c r="D101" s="78"/>
      <c r="E101" s="79"/>
      <c r="F101" s="80"/>
      <c r="G101" s="78" t="s">
        <v>294</v>
      </c>
      <c r="H101" s="136">
        <v>14195</v>
      </c>
      <c r="I101" s="137">
        <v>4.0681162286169553E-2</v>
      </c>
      <c r="J101" s="78" t="s">
        <v>385</v>
      </c>
      <c r="K101" s="136">
        <v>29894</v>
      </c>
      <c r="L101" s="137">
        <v>0.14480159652793925</v>
      </c>
      <c r="M101" s="78"/>
      <c r="N101" s="79"/>
      <c r="O101" s="80"/>
    </row>
    <row r="102" spans="1:15" ht="19.5">
      <c r="A102" s="148" t="s">
        <v>2</v>
      </c>
      <c r="B102" s="155">
        <v>49044</v>
      </c>
      <c r="C102" s="137">
        <v>0.1328947225805053</v>
      </c>
      <c r="D102" s="78"/>
      <c r="E102" s="79"/>
      <c r="F102" s="80"/>
      <c r="G102" s="104" t="s">
        <v>185</v>
      </c>
      <c r="H102" s="79"/>
      <c r="I102" s="80"/>
      <c r="J102" s="78" t="s">
        <v>13</v>
      </c>
      <c r="K102" s="136">
        <v>18111</v>
      </c>
      <c r="L102" s="137">
        <v>8.7726691467100673E-2</v>
      </c>
      <c r="M102" s="78"/>
      <c r="N102" s="79"/>
      <c r="O102" s="80"/>
    </row>
    <row r="103" spans="1:15">
      <c r="A103" s="148" t="s">
        <v>353</v>
      </c>
      <c r="B103" s="155">
        <v>45861</v>
      </c>
      <c r="C103" s="137">
        <v>0.12426973477417327</v>
      </c>
      <c r="D103" s="78"/>
      <c r="E103" s="79"/>
      <c r="F103" s="80"/>
      <c r="G103" s="78"/>
      <c r="H103" s="79"/>
      <c r="I103" s="80"/>
      <c r="J103" s="78"/>
      <c r="K103" s="136"/>
      <c r="L103" s="137"/>
      <c r="M103" s="78"/>
      <c r="N103" s="79"/>
      <c r="O103" s="80"/>
    </row>
    <row r="104" spans="1:15">
      <c r="A104" s="148" t="s">
        <v>354</v>
      </c>
      <c r="B104" s="155">
        <v>15915</v>
      </c>
      <c r="C104" s="137">
        <v>4.3124939031660182E-2</v>
      </c>
      <c r="D104" s="78"/>
      <c r="E104" s="79"/>
      <c r="F104" s="80"/>
      <c r="G104" s="78"/>
      <c r="H104" s="79"/>
      <c r="I104" s="80"/>
      <c r="J104" s="78"/>
      <c r="K104" s="79"/>
      <c r="L104" s="80"/>
      <c r="M104" s="78"/>
      <c r="N104" s="79"/>
      <c r="O104" s="80"/>
    </row>
    <row r="105" spans="1:15" ht="17.25" thickBot="1">
      <c r="A105" s="154" t="s">
        <v>384</v>
      </c>
      <c r="B105" s="156">
        <v>14840</v>
      </c>
      <c r="C105" s="141">
        <v>4.0212007240329063E-2</v>
      </c>
      <c r="D105" s="75"/>
      <c r="E105" s="73"/>
      <c r="F105" s="74"/>
      <c r="G105" s="75"/>
      <c r="H105" s="73"/>
      <c r="I105" s="74"/>
      <c r="J105" s="75"/>
      <c r="K105" s="73"/>
      <c r="L105" s="74"/>
      <c r="M105" s="76"/>
      <c r="N105" s="73"/>
      <c r="O105" s="77"/>
    </row>
    <row r="106" spans="1:15" ht="18" thickTop="1" thickBot="1">
      <c r="A106" s="9"/>
      <c r="B106" s="6"/>
      <c r="C106" s="17"/>
      <c r="D106" s="9"/>
      <c r="E106" s="6"/>
      <c r="F106" s="17"/>
      <c r="G106" s="9"/>
      <c r="H106" s="6"/>
      <c r="I106" s="17"/>
      <c r="J106" s="13"/>
      <c r="K106" s="5"/>
      <c r="L106" s="16"/>
      <c r="M106" s="9"/>
      <c r="N106" s="6"/>
      <c r="O106" s="17"/>
    </row>
    <row r="107" spans="1:15" s="3" customFormat="1" ht="17.25" thickTop="1">
      <c r="A107" s="68" t="s">
        <v>154</v>
      </c>
      <c r="B107" s="69" t="s">
        <v>186</v>
      </c>
      <c r="C107" s="70" t="s">
        <v>0</v>
      </c>
      <c r="D107" s="68" t="s">
        <v>155</v>
      </c>
      <c r="E107" s="69" t="s">
        <v>186</v>
      </c>
      <c r="F107" s="70" t="s">
        <v>0</v>
      </c>
      <c r="G107" s="68" t="s">
        <v>156</v>
      </c>
      <c r="H107" s="69" t="s">
        <v>186</v>
      </c>
      <c r="I107" s="70" t="s">
        <v>0</v>
      </c>
      <c r="J107" s="68" t="s">
        <v>338</v>
      </c>
      <c r="K107" s="69" t="s">
        <v>186</v>
      </c>
      <c r="L107" s="70" t="s">
        <v>0</v>
      </c>
      <c r="M107" s="68" t="s">
        <v>157</v>
      </c>
      <c r="N107" s="69" t="s">
        <v>186</v>
      </c>
      <c r="O107" s="70" t="s">
        <v>0</v>
      </c>
    </row>
    <row r="108" spans="1:15" s="3" customFormat="1">
      <c r="A108" s="48" t="s">
        <v>187</v>
      </c>
      <c r="B108" s="106">
        <v>1300982</v>
      </c>
      <c r="C108" s="49">
        <v>1</v>
      </c>
      <c r="D108" s="48" t="s">
        <v>187</v>
      </c>
      <c r="E108" s="106">
        <v>2575024</v>
      </c>
      <c r="F108" s="49">
        <v>1</v>
      </c>
      <c r="G108" s="48" t="s">
        <v>187</v>
      </c>
      <c r="H108" s="118">
        <v>830262</v>
      </c>
      <c r="I108" s="49">
        <v>1</v>
      </c>
      <c r="J108" s="48" t="s">
        <v>187</v>
      </c>
      <c r="K108" s="106">
        <v>1286877</v>
      </c>
      <c r="L108" s="49">
        <v>1</v>
      </c>
      <c r="M108" s="48" t="s">
        <v>187</v>
      </c>
      <c r="N108" s="106">
        <v>1244764</v>
      </c>
      <c r="O108" s="49">
        <v>1</v>
      </c>
    </row>
    <row r="109" spans="1:15">
      <c r="A109" s="78" t="s">
        <v>296</v>
      </c>
      <c r="B109" s="136">
        <v>1239647</v>
      </c>
      <c r="C109" s="137">
        <v>0.95285484349514449</v>
      </c>
      <c r="D109" s="78" t="s">
        <v>299</v>
      </c>
      <c r="E109" s="136">
        <v>1235257</v>
      </c>
      <c r="F109" s="137">
        <v>0.47970698525528305</v>
      </c>
      <c r="G109" s="78" t="s">
        <v>303</v>
      </c>
      <c r="H109" s="157">
        <v>803232</v>
      </c>
      <c r="I109" s="139">
        <f>(H109/H108)</f>
        <v>0.9674440116493348</v>
      </c>
      <c r="J109" s="78" t="s">
        <v>305</v>
      </c>
      <c r="K109" s="136">
        <v>910027</v>
      </c>
      <c r="L109" s="137">
        <v>0.70715927007787072</v>
      </c>
      <c r="M109" s="78" t="s">
        <v>307</v>
      </c>
      <c r="N109" s="136">
        <v>1021191</v>
      </c>
      <c r="O109" s="137">
        <v>0.82038924647563716</v>
      </c>
    </row>
    <row r="110" spans="1:15">
      <c r="A110" s="78" t="s">
        <v>297</v>
      </c>
      <c r="B110" s="136">
        <v>21422</v>
      </c>
      <c r="C110" s="137">
        <v>1.6466023357740538E-2</v>
      </c>
      <c r="D110" s="78" t="s">
        <v>300</v>
      </c>
      <c r="E110" s="136">
        <v>1212626</v>
      </c>
      <c r="F110" s="137">
        <v>0.47091832930489191</v>
      </c>
      <c r="G110" s="78" t="s">
        <v>304</v>
      </c>
      <c r="H110" s="157">
        <v>16916</v>
      </c>
      <c r="I110" s="139">
        <f>(H110/H108)</f>
        <v>2.0374291488710793E-2</v>
      </c>
      <c r="J110" s="78" t="s">
        <v>306</v>
      </c>
      <c r="K110" s="136">
        <v>368130</v>
      </c>
      <c r="L110" s="137">
        <v>0.2860646355479195</v>
      </c>
      <c r="M110" s="78" t="s">
        <v>308</v>
      </c>
      <c r="N110" s="136">
        <v>190029</v>
      </c>
      <c r="O110" s="137">
        <v>0.15266267340636458</v>
      </c>
    </row>
    <row r="111" spans="1:15">
      <c r="A111" s="78" t="s">
        <v>298</v>
      </c>
      <c r="B111" s="136">
        <v>19412</v>
      </c>
      <c r="C111" s="137">
        <v>1.4921036570836491E-2</v>
      </c>
      <c r="D111" s="78" t="s">
        <v>301</v>
      </c>
      <c r="E111" s="136">
        <v>61246</v>
      </c>
      <c r="F111" s="137">
        <v>2.3784632686918647E-2</v>
      </c>
      <c r="G111" s="78"/>
      <c r="H111" s="79"/>
      <c r="I111" s="80"/>
      <c r="J111" s="78"/>
      <c r="K111" s="79"/>
      <c r="L111" s="80"/>
      <c r="M111" s="78" t="s">
        <v>309</v>
      </c>
      <c r="N111" s="136">
        <v>29022</v>
      </c>
      <c r="O111" s="137">
        <v>2.3315262973543579E-2</v>
      </c>
    </row>
    <row r="112" spans="1:15" s="7" customFormat="1">
      <c r="A112" s="78"/>
      <c r="B112" s="136"/>
      <c r="C112" s="137"/>
      <c r="D112" s="78" t="s">
        <v>302</v>
      </c>
      <c r="E112" s="136">
        <v>13895</v>
      </c>
      <c r="F112" s="137">
        <v>5.3960662114217184E-3</v>
      </c>
      <c r="G112" s="78"/>
      <c r="H112" s="79"/>
      <c r="I112" s="80"/>
      <c r="J112" s="78"/>
      <c r="K112" s="79"/>
      <c r="L112" s="80"/>
      <c r="M112" s="78"/>
      <c r="N112" s="136"/>
      <c r="O112" s="137"/>
    </row>
    <row r="113" spans="1:15" ht="17.25" thickBot="1">
      <c r="A113" s="75"/>
      <c r="B113" s="73"/>
      <c r="C113" s="74"/>
      <c r="D113" s="75" t="s">
        <v>9</v>
      </c>
      <c r="E113" s="140">
        <v>12832</v>
      </c>
      <c r="F113" s="141">
        <v>4.9832545250063686E-3</v>
      </c>
      <c r="G113" s="75"/>
      <c r="H113" s="73"/>
      <c r="I113" s="74"/>
      <c r="J113" s="75"/>
      <c r="K113" s="73"/>
      <c r="L113" s="74"/>
      <c r="M113" s="75"/>
      <c r="N113" s="73"/>
      <c r="O113" s="74"/>
    </row>
    <row r="114" spans="1:15" ht="18" thickTop="1" thickBot="1">
      <c r="A114" s="10"/>
      <c r="B114" s="6"/>
      <c r="C114" s="17"/>
      <c r="D114" s="11"/>
      <c r="E114" s="6"/>
      <c r="F114" s="17"/>
      <c r="G114" s="11"/>
      <c r="H114" s="6"/>
      <c r="I114" s="17"/>
      <c r="J114" s="11"/>
      <c r="K114" s="6"/>
      <c r="L114" s="17"/>
      <c r="M114" s="11"/>
      <c r="N114" s="5"/>
      <c r="O114" s="17"/>
    </row>
    <row r="115" spans="1:15" s="3" customFormat="1" ht="17.25" thickTop="1">
      <c r="A115" s="68" t="s">
        <v>158</v>
      </c>
      <c r="B115" s="69" t="s">
        <v>186</v>
      </c>
      <c r="C115" s="70" t="s">
        <v>0</v>
      </c>
      <c r="D115" s="68" t="s">
        <v>159</v>
      </c>
      <c r="E115" s="69" t="s">
        <v>186</v>
      </c>
      <c r="F115" s="70" t="s">
        <v>0</v>
      </c>
      <c r="G115" s="68" t="s">
        <v>160</v>
      </c>
      <c r="H115" s="69" t="s">
        <v>186</v>
      </c>
      <c r="I115" s="70" t="s">
        <v>0</v>
      </c>
      <c r="J115" s="68" t="s">
        <v>161</v>
      </c>
      <c r="K115" s="69" t="s">
        <v>186</v>
      </c>
      <c r="L115" s="70" t="s">
        <v>0</v>
      </c>
      <c r="M115" s="68" t="s">
        <v>162</v>
      </c>
      <c r="N115" s="69" t="s">
        <v>186</v>
      </c>
      <c r="O115" s="70" t="s">
        <v>0</v>
      </c>
    </row>
    <row r="116" spans="1:15" s="3" customFormat="1">
      <c r="A116" s="48" t="s">
        <v>187</v>
      </c>
      <c r="B116" s="106">
        <v>163736</v>
      </c>
      <c r="C116" s="49">
        <v>1</v>
      </c>
      <c r="D116" s="48" t="s">
        <v>187</v>
      </c>
      <c r="E116" s="106">
        <v>1844899</v>
      </c>
      <c r="F116" s="49">
        <v>1</v>
      </c>
      <c r="G116" s="48" t="s">
        <v>187</v>
      </c>
      <c r="H116" s="106">
        <v>2050853</v>
      </c>
      <c r="I116" s="49">
        <v>1</v>
      </c>
      <c r="J116" s="48" t="s">
        <v>187</v>
      </c>
      <c r="K116" s="106">
        <v>369757</v>
      </c>
      <c r="L116" s="49">
        <v>1</v>
      </c>
      <c r="M116" s="48" t="s">
        <v>187</v>
      </c>
      <c r="N116" s="106">
        <v>389038</v>
      </c>
      <c r="O116" s="49">
        <v>1</v>
      </c>
    </row>
    <row r="117" spans="1:15">
      <c r="A117" s="78" t="s">
        <v>299</v>
      </c>
      <c r="B117" s="136">
        <v>98816</v>
      </c>
      <c r="C117" s="137">
        <v>0.60350808618752139</v>
      </c>
      <c r="D117" s="78" t="s">
        <v>386</v>
      </c>
      <c r="E117" s="136">
        <v>1751927</v>
      </c>
      <c r="F117" s="137">
        <v>0.94960591338604439</v>
      </c>
      <c r="G117" s="78" t="s">
        <v>311</v>
      </c>
      <c r="H117" s="136">
        <v>2027273</v>
      </c>
      <c r="I117" s="137">
        <v>0.98850234512176149</v>
      </c>
      <c r="J117" s="78" t="s">
        <v>312</v>
      </c>
      <c r="K117" s="136">
        <v>369135</v>
      </c>
      <c r="L117" s="137">
        <v>0.99831781413198395</v>
      </c>
      <c r="M117" s="78" t="s">
        <v>313</v>
      </c>
      <c r="N117" s="136">
        <v>388301</v>
      </c>
      <c r="O117" s="137">
        <v>0.99810558351626322</v>
      </c>
    </row>
    <row r="118" spans="1:15">
      <c r="A118" s="78" t="s">
        <v>310</v>
      </c>
      <c r="B118" s="136">
        <v>57824</v>
      </c>
      <c r="C118" s="137">
        <v>0.3531538574290321</v>
      </c>
      <c r="D118" s="78" t="s">
        <v>387</v>
      </c>
      <c r="E118" s="136">
        <v>62325</v>
      </c>
      <c r="F118" s="137">
        <v>3.3782337136070865E-2</v>
      </c>
      <c r="G118" s="78"/>
      <c r="H118" s="79"/>
      <c r="I118" s="80"/>
      <c r="J118" s="78"/>
      <c r="K118" s="79"/>
      <c r="L118" s="80"/>
      <c r="M118" s="78"/>
      <c r="N118" s="79"/>
      <c r="O118" s="80"/>
    </row>
    <row r="119" spans="1:15" ht="17.25" thickBot="1">
      <c r="A119" s="75"/>
      <c r="B119" s="140"/>
      <c r="C119" s="141"/>
      <c r="D119" s="75" t="s">
        <v>388</v>
      </c>
      <c r="E119" s="73">
        <v>10492</v>
      </c>
      <c r="F119" s="74">
        <v>5.6870321898380349E-3</v>
      </c>
      <c r="G119" s="75"/>
      <c r="H119" s="73"/>
      <c r="I119" s="74"/>
      <c r="J119" s="75"/>
      <c r="K119" s="73"/>
      <c r="L119" s="74"/>
      <c r="M119" s="75"/>
      <c r="N119" s="73"/>
      <c r="O119" s="74"/>
    </row>
    <row r="120" spans="1:15" ht="18" thickTop="1" thickBot="1">
      <c r="A120" s="9"/>
      <c r="B120" s="6"/>
      <c r="C120" s="17"/>
      <c r="D120" s="9"/>
      <c r="E120" s="6"/>
      <c r="F120" s="17"/>
      <c r="G120" s="9"/>
      <c r="H120" s="6"/>
      <c r="I120" s="17"/>
      <c r="J120" s="9"/>
      <c r="K120" s="6"/>
      <c r="L120" s="17"/>
      <c r="M120" s="9"/>
      <c r="N120" s="6"/>
      <c r="O120" s="17"/>
    </row>
    <row r="121" spans="1:15" s="3" customFormat="1" ht="17.25" thickTop="1">
      <c r="A121" s="68" t="s">
        <v>163</v>
      </c>
      <c r="B121" s="69" t="s">
        <v>186</v>
      </c>
      <c r="C121" s="70" t="s">
        <v>0</v>
      </c>
      <c r="D121" s="68" t="s">
        <v>164</v>
      </c>
      <c r="E121" s="69" t="s">
        <v>186</v>
      </c>
      <c r="F121" s="70" t="s">
        <v>0</v>
      </c>
      <c r="G121" s="68" t="s">
        <v>165</v>
      </c>
      <c r="H121" s="69" t="s">
        <v>186</v>
      </c>
      <c r="I121" s="70" t="s">
        <v>0</v>
      </c>
      <c r="J121" s="68" t="s">
        <v>166</v>
      </c>
      <c r="K121" s="69" t="s">
        <v>186</v>
      </c>
      <c r="L121" s="70" t="s">
        <v>0</v>
      </c>
      <c r="M121" s="68" t="s">
        <v>167</v>
      </c>
      <c r="N121" s="69" t="s">
        <v>186</v>
      </c>
      <c r="O121" s="70" t="s">
        <v>0</v>
      </c>
    </row>
    <row r="122" spans="1:15" s="3" customFormat="1">
      <c r="A122" s="48" t="s">
        <v>187</v>
      </c>
      <c r="B122" s="106">
        <v>543903</v>
      </c>
      <c r="C122" s="49">
        <v>1</v>
      </c>
      <c r="D122" s="48" t="s">
        <v>187</v>
      </c>
      <c r="E122" s="106">
        <v>219898</v>
      </c>
      <c r="F122" s="49">
        <v>1</v>
      </c>
      <c r="G122" s="48" t="s">
        <v>187</v>
      </c>
      <c r="H122" s="106">
        <v>876102</v>
      </c>
      <c r="I122" s="49">
        <v>1</v>
      </c>
      <c r="J122" s="48" t="s">
        <v>187</v>
      </c>
      <c r="K122" s="106">
        <v>118220</v>
      </c>
      <c r="L122" s="49">
        <v>1</v>
      </c>
      <c r="M122" s="48" t="s">
        <v>187</v>
      </c>
      <c r="N122" s="106">
        <v>580537</v>
      </c>
      <c r="O122" s="49">
        <v>1</v>
      </c>
    </row>
    <row r="123" spans="1:15">
      <c r="A123" s="78" t="s">
        <v>389</v>
      </c>
      <c r="B123" s="136">
        <v>249786</v>
      </c>
      <c r="C123" s="137">
        <v>0.45924732902741849</v>
      </c>
      <c r="D123" s="78" t="s">
        <v>314</v>
      </c>
      <c r="E123" s="136">
        <v>161163</v>
      </c>
      <c r="F123" s="137">
        <v>0.73289888948512494</v>
      </c>
      <c r="G123" s="78" t="s">
        <v>393</v>
      </c>
      <c r="H123" s="136">
        <v>832637</v>
      </c>
      <c r="I123" s="137">
        <v>0.95038819680813424</v>
      </c>
      <c r="J123" s="148" t="s">
        <v>356</v>
      </c>
      <c r="K123" s="136">
        <v>92758</v>
      </c>
      <c r="L123" s="137">
        <v>0.7846218913889359</v>
      </c>
      <c r="M123" s="78" t="s">
        <v>315</v>
      </c>
      <c r="N123" s="136">
        <v>578862</v>
      </c>
      <c r="O123" s="137">
        <v>0.99711474031801595</v>
      </c>
    </row>
    <row r="124" spans="1:15">
      <c r="A124" s="78" t="s">
        <v>390</v>
      </c>
      <c r="B124" s="136">
        <v>248352</v>
      </c>
      <c r="C124" s="137">
        <v>0.45661082950452564</v>
      </c>
      <c r="D124" s="78" t="s">
        <v>392</v>
      </c>
      <c r="E124" s="136">
        <v>56112</v>
      </c>
      <c r="F124" s="137">
        <v>0.25517285286814795</v>
      </c>
      <c r="G124" s="78" t="s">
        <v>394</v>
      </c>
      <c r="H124" s="136">
        <v>22775</v>
      </c>
      <c r="I124" s="137">
        <v>2.5995831535597452E-2</v>
      </c>
      <c r="J124" s="148"/>
      <c r="K124" s="136"/>
      <c r="L124" s="137"/>
      <c r="M124" s="78"/>
      <c r="N124" s="79"/>
      <c r="O124" s="80"/>
    </row>
    <row r="125" spans="1:15" ht="17.25" thickBot="1">
      <c r="A125" s="75" t="s">
        <v>391</v>
      </c>
      <c r="B125" s="140">
        <v>11274</v>
      </c>
      <c r="C125" s="141">
        <v>2.0727960684166109E-2</v>
      </c>
      <c r="D125" s="75"/>
      <c r="E125" s="73"/>
      <c r="F125" s="74"/>
      <c r="G125" s="75" t="s">
        <v>395</v>
      </c>
      <c r="H125" s="140">
        <v>13429</v>
      </c>
      <c r="I125" s="141">
        <v>1.5328123894249757E-2</v>
      </c>
      <c r="J125" s="154"/>
      <c r="K125" s="140"/>
      <c r="L125" s="141"/>
      <c r="M125" s="75"/>
      <c r="N125" s="73"/>
      <c r="O125" s="74"/>
    </row>
    <row r="126" spans="1:15" ht="18" thickTop="1" thickBot="1">
      <c r="A126" s="10"/>
      <c r="B126" s="5"/>
      <c r="C126" s="16"/>
      <c r="D126" s="11"/>
      <c r="E126" s="6"/>
      <c r="F126" s="17"/>
      <c r="G126" s="11"/>
      <c r="H126" s="6"/>
      <c r="I126" s="17"/>
      <c r="J126" s="11"/>
      <c r="K126" s="6"/>
      <c r="L126" s="17"/>
      <c r="M126" s="11"/>
      <c r="N126" s="6"/>
      <c r="O126" s="17"/>
    </row>
    <row r="127" spans="1:15" s="3" customFormat="1" ht="17.25" thickTop="1">
      <c r="A127" s="68" t="s">
        <v>168</v>
      </c>
      <c r="B127" s="69" t="s">
        <v>186</v>
      </c>
      <c r="C127" s="70" t="s">
        <v>0</v>
      </c>
      <c r="D127" s="68" t="s">
        <v>169</v>
      </c>
      <c r="E127" s="69" t="s">
        <v>186</v>
      </c>
      <c r="F127" s="70" t="s">
        <v>0</v>
      </c>
      <c r="G127" s="68" t="s">
        <v>170</v>
      </c>
      <c r="H127" s="69" t="s">
        <v>186</v>
      </c>
      <c r="I127" s="70" t="s">
        <v>0</v>
      </c>
      <c r="J127" s="68" t="s">
        <v>171</v>
      </c>
      <c r="K127" s="69" t="s">
        <v>186</v>
      </c>
      <c r="L127" s="70" t="s">
        <v>0</v>
      </c>
      <c r="M127" s="68" t="s">
        <v>172</v>
      </c>
      <c r="N127" s="69" t="s">
        <v>186</v>
      </c>
      <c r="O127" s="70" t="s">
        <v>0</v>
      </c>
    </row>
    <row r="128" spans="1:15" s="3" customFormat="1">
      <c r="A128" s="48" t="s">
        <v>187</v>
      </c>
      <c r="B128" s="106">
        <v>130286</v>
      </c>
      <c r="C128" s="49">
        <v>1</v>
      </c>
      <c r="D128" s="48" t="s">
        <v>187</v>
      </c>
      <c r="E128" s="106">
        <v>361332</v>
      </c>
      <c r="F128" s="49">
        <v>1</v>
      </c>
      <c r="G128" s="48" t="s">
        <v>187</v>
      </c>
      <c r="H128" s="106">
        <v>255159</v>
      </c>
      <c r="I128" s="49">
        <v>1</v>
      </c>
      <c r="J128" s="48" t="s">
        <v>187</v>
      </c>
      <c r="K128" s="106">
        <v>138997</v>
      </c>
      <c r="L128" s="49">
        <v>1</v>
      </c>
      <c r="M128" s="48" t="s">
        <v>187</v>
      </c>
      <c r="N128" s="106">
        <v>312790</v>
      </c>
      <c r="O128" s="49">
        <v>1</v>
      </c>
    </row>
    <row r="129" spans="1:15">
      <c r="A129" s="78" t="s">
        <v>316</v>
      </c>
      <c r="B129" s="136">
        <v>116736</v>
      </c>
      <c r="C129" s="137">
        <v>0.89599803509202836</v>
      </c>
      <c r="D129" s="78" t="s">
        <v>317</v>
      </c>
      <c r="E129" s="136">
        <v>360064</v>
      </c>
      <c r="F129" s="137">
        <v>0.99649076195853126</v>
      </c>
      <c r="G129" s="78" t="s">
        <v>318</v>
      </c>
      <c r="H129" s="136">
        <v>234636</v>
      </c>
      <c r="I129" s="137">
        <v>0.91956779890186124</v>
      </c>
      <c r="J129" s="78" t="s">
        <v>320</v>
      </c>
      <c r="K129" s="136">
        <v>93430</v>
      </c>
      <c r="L129" s="137">
        <v>0.67217278070749731</v>
      </c>
      <c r="M129" s="78" t="s">
        <v>322</v>
      </c>
      <c r="N129" s="136">
        <v>152235</v>
      </c>
      <c r="O129" s="137">
        <v>0.48670034208254742</v>
      </c>
    </row>
    <row r="130" spans="1:15">
      <c r="A130" s="78"/>
      <c r="B130" s="136"/>
      <c r="C130" s="137"/>
      <c r="D130" s="78"/>
      <c r="E130" s="79"/>
      <c r="F130" s="80"/>
      <c r="G130" s="78"/>
      <c r="H130" s="136"/>
      <c r="I130" s="137"/>
      <c r="J130" s="78" t="s">
        <v>321</v>
      </c>
      <c r="K130" s="136">
        <v>37819</v>
      </c>
      <c r="L130" s="137">
        <v>0.27208500902897187</v>
      </c>
      <c r="M130" s="78" t="s">
        <v>323</v>
      </c>
      <c r="N130" s="136">
        <v>127608</v>
      </c>
      <c r="O130" s="137">
        <v>0.40796700661785862</v>
      </c>
    </row>
    <row r="131" spans="1:15" ht="17.25" thickBot="1">
      <c r="A131" s="75"/>
      <c r="B131" s="140"/>
      <c r="C131" s="141"/>
      <c r="D131" s="75"/>
      <c r="E131" s="73"/>
      <c r="F131" s="74"/>
      <c r="G131" s="75"/>
      <c r="H131" s="140"/>
      <c r="I131" s="141"/>
      <c r="J131" s="75"/>
      <c r="K131" s="140"/>
      <c r="L131" s="141"/>
      <c r="M131" s="75" t="s">
        <v>324</v>
      </c>
      <c r="N131" s="140">
        <v>14807</v>
      </c>
      <c r="O131" s="141">
        <v>4.7338469899932865E-2</v>
      </c>
    </row>
    <row r="132" spans="1:15" ht="18" thickTop="1" thickBot="1">
      <c r="A132" s="9"/>
      <c r="B132" s="6"/>
      <c r="C132" s="17"/>
      <c r="D132" s="9"/>
      <c r="E132" s="6"/>
      <c r="F132" s="17"/>
      <c r="G132" s="9"/>
      <c r="H132" s="6"/>
      <c r="I132" s="17"/>
      <c r="J132" s="9"/>
      <c r="K132" s="6"/>
      <c r="L132" s="17"/>
      <c r="M132" s="9"/>
      <c r="N132" s="6"/>
      <c r="O132" s="17"/>
    </row>
    <row r="133" spans="1:15" s="3" customFormat="1" ht="17.25" thickTop="1">
      <c r="A133" s="68" t="s">
        <v>173</v>
      </c>
      <c r="B133" s="69" t="s">
        <v>186</v>
      </c>
      <c r="C133" s="70" t="s">
        <v>0</v>
      </c>
      <c r="D133" s="68" t="s">
        <v>174</v>
      </c>
      <c r="E133" s="69" t="s">
        <v>186</v>
      </c>
      <c r="F133" s="70" t="s">
        <v>0</v>
      </c>
      <c r="G133" s="68" t="s">
        <v>175</v>
      </c>
      <c r="H133" s="69" t="s">
        <v>186</v>
      </c>
      <c r="I133" s="70" t="s">
        <v>0</v>
      </c>
      <c r="J133" s="68" t="s">
        <v>176</v>
      </c>
      <c r="K133" s="69" t="s">
        <v>186</v>
      </c>
      <c r="L133" s="70" t="s">
        <v>0</v>
      </c>
      <c r="M133" s="68" t="s">
        <v>177</v>
      </c>
      <c r="N133" s="69" t="s">
        <v>186</v>
      </c>
      <c r="O133" s="70" t="s">
        <v>0</v>
      </c>
    </row>
    <row r="134" spans="1:15" s="3" customFormat="1">
      <c r="A134" s="48" t="s">
        <v>187</v>
      </c>
      <c r="B134" s="106">
        <v>2513645</v>
      </c>
      <c r="C134" s="49">
        <v>1</v>
      </c>
      <c r="D134" s="48" t="s">
        <v>187</v>
      </c>
      <c r="E134" s="106">
        <v>494803</v>
      </c>
      <c r="F134" s="49">
        <v>1</v>
      </c>
      <c r="G134" s="48" t="s">
        <v>187</v>
      </c>
      <c r="H134" s="106">
        <v>993488</v>
      </c>
      <c r="I134" s="49">
        <v>1</v>
      </c>
      <c r="J134" s="48" t="s">
        <v>187</v>
      </c>
      <c r="K134" s="106">
        <v>1191826</v>
      </c>
      <c r="L134" s="49">
        <v>1</v>
      </c>
      <c r="M134" s="48" t="s">
        <v>187</v>
      </c>
      <c r="N134" s="106">
        <v>237522</v>
      </c>
      <c r="O134" s="49">
        <v>1</v>
      </c>
    </row>
    <row r="135" spans="1:15">
      <c r="A135" s="78" t="s">
        <v>396</v>
      </c>
      <c r="B135" s="136">
        <v>1708391</v>
      </c>
      <c r="C135" s="137">
        <v>0.67964688728917566</v>
      </c>
      <c r="D135" s="78" t="s">
        <v>400</v>
      </c>
      <c r="E135" s="136">
        <v>229076</v>
      </c>
      <c r="F135" s="137">
        <v>0.46296404831821958</v>
      </c>
      <c r="G135" s="78" t="s">
        <v>325</v>
      </c>
      <c r="H135" s="136">
        <v>890218</v>
      </c>
      <c r="I135" s="137">
        <v>0.89605309777269582</v>
      </c>
      <c r="J135" s="78" t="s">
        <v>326</v>
      </c>
      <c r="K135" s="136">
        <v>1191030</v>
      </c>
      <c r="L135" s="137">
        <v>0.9993321172721521</v>
      </c>
      <c r="M135" s="78" t="s">
        <v>327</v>
      </c>
      <c r="N135" s="136">
        <v>236373</v>
      </c>
      <c r="O135" s="137">
        <v>0.99516255336347792</v>
      </c>
    </row>
    <row r="136" spans="1:15">
      <c r="A136" s="78" t="s">
        <v>397</v>
      </c>
      <c r="B136" s="136">
        <v>754964</v>
      </c>
      <c r="C136" s="137">
        <v>0.30034630984088845</v>
      </c>
      <c r="D136" s="78" t="s">
        <v>401</v>
      </c>
      <c r="E136" s="136">
        <v>180475</v>
      </c>
      <c r="F136" s="137">
        <v>0.36474111919289093</v>
      </c>
      <c r="G136" s="78" t="s">
        <v>318</v>
      </c>
      <c r="H136" s="136">
        <v>52868</v>
      </c>
      <c r="I136" s="137">
        <v>5.3214533039150948E-2</v>
      </c>
      <c r="J136" s="78"/>
      <c r="K136" s="79"/>
      <c r="L136" s="80"/>
      <c r="M136" s="78"/>
      <c r="N136" s="79"/>
      <c r="O136" s="80"/>
    </row>
    <row r="137" spans="1:15">
      <c r="A137" s="78" t="s">
        <v>398</v>
      </c>
      <c r="B137" s="136">
        <v>16562</v>
      </c>
      <c r="C137" s="137">
        <v>6.5888381215326751E-3</v>
      </c>
      <c r="D137" s="78" t="s">
        <v>402</v>
      </c>
      <c r="E137" s="136">
        <v>67849</v>
      </c>
      <c r="F137" s="137">
        <v>0.13712325915566398</v>
      </c>
      <c r="G137" s="78" t="s">
        <v>319</v>
      </c>
      <c r="H137" s="136">
        <v>28889</v>
      </c>
      <c r="I137" s="137">
        <v>2.9078358269048039E-2</v>
      </c>
      <c r="J137" s="78"/>
      <c r="K137" s="79"/>
      <c r="L137" s="80"/>
      <c r="M137" s="78"/>
      <c r="N137" s="79"/>
      <c r="O137" s="80"/>
    </row>
    <row r="138" spans="1:15" ht="17.25" thickBot="1">
      <c r="A138" s="75" t="s">
        <v>399</v>
      </c>
      <c r="B138" s="140">
        <v>12478</v>
      </c>
      <c r="C138" s="141">
        <v>4.9641059099435284E-3</v>
      </c>
      <c r="D138" s="75"/>
      <c r="E138" s="140"/>
      <c r="F138" s="141"/>
      <c r="G138" s="75"/>
      <c r="H138" s="140"/>
      <c r="I138" s="141"/>
      <c r="J138" s="75"/>
      <c r="K138" s="73"/>
      <c r="L138" s="74"/>
      <c r="M138" s="75"/>
      <c r="N138" s="73"/>
      <c r="O138" s="74"/>
    </row>
    <row r="139" spans="1:15" ht="18" thickTop="1" thickBot="1">
      <c r="A139" s="9"/>
      <c r="B139" s="6"/>
      <c r="C139" s="17"/>
      <c r="D139" s="9"/>
      <c r="E139" s="6"/>
      <c r="F139" s="17"/>
      <c r="G139" s="9"/>
      <c r="H139" s="6"/>
      <c r="I139" s="17"/>
      <c r="J139" s="13"/>
      <c r="K139" s="5"/>
      <c r="L139" s="16"/>
      <c r="M139" s="9"/>
      <c r="N139" s="6"/>
      <c r="O139" s="17"/>
    </row>
    <row r="140" spans="1:15" s="3" customFormat="1" ht="17.25" thickTop="1">
      <c r="A140" s="68" t="s">
        <v>178</v>
      </c>
      <c r="B140" s="69" t="s">
        <v>186</v>
      </c>
      <c r="C140" s="70" t="s">
        <v>0</v>
      </c>
      <c r="D140" s="68" t="s">
        <v>179</v>
      </c>
      <c r="E140" s="69" t="s">
        <v>186</v>
      </c>
      <c r="F140" s="70" t="s">
        <v>0</v>
      </c>
      <c r="G140" s="68" t="s">
        <v>180</v>
      </c>
      <c r="H140" s="69" t="s">
        <v>186</v>
      </c>
      <c r="I140" s="70" t="s">
        <v>0</v>
      </c>
      <c r="J140" s="68" t="s">
        <v>181</v>
      </c>
      <c r="K140" s="69" t="s">
        <v>186</v>
      </c>
      <c r="L140" s="70" t="s">
        <v>0</v>
      </c>
      <c r="M140" s="68" t="s">
        <v>182</v>
      </c>
      <c r="N140" s="69" t="s">
        <v>186</v>
      </c>
      <c r="O140" s="70" t="s">
        <v>0</v>
      </c>
    </row>
    <row r="141" spans="1:15">
      <c r="A141" s="48" t="s">
        <v>187</v>
      </c>
      <c r="B141" s="106">
        <v>563040</v>
      </c>
      <c r="C141" s="49">
        <v>1</v>
      </c>
      <c r="D141" s="48" t="s">
        <v>187</v>
      </c>
      <c r="E141" s="106">
        <v>523883</v>
      </c>
      <c r="F141" s="49">
        <v>1</v>
      </c>
      <c r="G141" s="48" t="s">
        <v>187</v>
      </c>
      <c r="H141" s="106">
        <v>316396</v>
      </c>
      <c r="I141" s="49">
        <v>1</v>
      </c>
      <c r="J141" s="48" t="s">
        <v>187</v>
      </c>
      <c r="K141" s="106">
        <v>644270</v>
      </c>
      <c r="L141" s="49">
        <v>1</v>
      </c>
      <c r="M141" s="48" t="s">
        <v>187</v>
      </c>
      <c r="N141" s="106">
        <v>2309957</v>
      </c>
      <c r="O141" s="49">
        <v>1</v>
      </c>
    </row>
    <row r="142" spans="1:15">
      <c r="A142" s="78" t="s">
        <v>328</v>
      </c>
      <c r="B142" s="136">
        <v>534805</v>
      </c>
      <c r="C142" s="137">
        <v>0.94985258596192101</v>
      </c>
      <c r="D142" s="78" t="s">
        <v>330</v>
      </c>
      <c r="E142" s="136">
        <v>497948</v>
      </c>
      <c r="F142" s="137">
        <v>0.95049467152016764</v>
      </c>
      <c r="G142" s="78" t="s">
        <v>332</v>
      </c>
      <c r="H142" s="136">
        <v>313761</v>
      </c>
      <c r="I142" s="137">
        <v>0.99167182897381767</v>
      </c>
      <c r="J142" s="78" t="s">
        <v>333</v>
      </c>
      <c r="K142" s="136">
        <v>337877</v>
      </c>
      <c r="L142" s="137">
        <v>0.52443385537119536</v>
      </c>
      <c r="M142" s="78" t="s">
        <v>334</v>
      </c>
      <c r="N142" s="136">
        <v>1946004</v>
      </c>
      <c r="O142" s="137">
        <v>0.8424416558403468</v>
      </c>
    </row>
    <row r="143" spans="1:15">
      <c r="A143" s="78" t="s">
        <v>329</v>
      </c>
      <c r="B143" s="136">
        <v>19022</v>
      </c>
      <c r="C143" s="137">
        <v>3.3784455811310031E-2</v>
      </c>
      <c r="D143" s="78" t="s">
        <v>331</v>
      </c>
      <c r="E143" s="136">
        <v>15053</v>
      </c>
      <c r="F143" s="137">
        <v>2.8733514926042647E-2</v>
      </c>
      <c r="G143" s="78"/>
      <c r="H143" s="79"/>
      <c r="I143" s="80"/>
      <c r="J143" s="78" t="s">
        <v>321</v>
      </c>
      <c r="K143" s="136">
        <v>303789</v>
      </c>
      <c r="L143" s="137">
        <v>0.47152436090458971</v>
      </c>
      <c r="M143" s="78" t="s">
        <v>335</v>
      </c>
      <c r="N143" s="136">
        <v>285019</v>
      </c>
      <c r="O143" s="137">
        <v>0.12338714530183895</v>
      </c>
    </row>
    <row r="144" spans="1:15" s="7" customFormat="1">
      <c r="A144" s="78"/>
      <c r="B144" s="79"/>
      <c r="C144" s="80"/>
      <c r="D144" s="78"/>
      <c r="E144" s="79"/>
      <c r="F144" s="80"/>
      <c r="G144" s="78"/>
      <c r="H144" s="79"/>
      <c r="I144" s="80"/>
      <c r="J144" s="78"/>
      <c r="K144" s="79"/>
      <c r="L144" s="80"/>
      <c r="M144" s="78" t="s">
        <v>336</v>
      </c>
      <c r="N144" s="136">
        <v>36946</v>
      </c>
      <c r="O144" s="137">
        <v>1.5994237122162878E-2</v>
      </c>
    </row>
    <row r="145" spans="1:15" ht="17.25" thickBot="1">
      <c r="A145" s="75"/>
      <c r="B145" s="73"/>
      <c r="C145" s="74"/>
      <c r="D145" s="75"/>
      <c r="E145" s="73"/>
      <c r="F145" s="74"/>
      <c r="G145" s="75"/>
      <c r="H145" s="73"/>
      <c r="I145" s="74"/>
      <c r="J145" s="75"/>
      <c r="K145" s="73"/>
      <c r="L145" s="74"/>
      <c r="M145" s="75" t="s">
        <v>337</v>
      </c>
      <c r="N145" s="140">
        <v>24538</v>
      </c>
      <c r="O145" s="141">
        <v>1.0622708561241615E-2</v>
      </c>
    </row>
    <row r="146" spans="1:15" ht="17.25" thickTop="1"/>
  </sheetData>
  <mergeCells count="1">
    <mergeCell ref="A2:O3"/>
  </mergeCells>
  <phoneticPr fontId="1" type="noConversion"/>
  <pageMargins left="0.23622047244094491" right="0.23622047244094491" top="0.74803149606299213" bottom="0.74803149606299213" header="0.31496062992125984" footer="0.31496062992125984"/>
  <pageSetup paperSize="9" scale="61" fitToHeight="3" orientation="portrait" r:id="rId1"/>
  <headerFooter>
    <oddFooter>&amp;C&amp;P/&amp;N</oddFooter>
  </headerFooter>
  <rowBreaks count="2" manualBreakCount="2">
    <brk id="55" max="16383" man="1"/>
    <brk id="10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성 통계 상 제한 표기 예시</vt:lpstr>
      <vt:lpstr>이름 통계 상 제한 표기 예시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MOFAT</dc:creator>
  <cp:lastModifiedBy>USER</cp:lastModifiedBy>
  <cp:lastPrinted>2024-11-07T01:26:19Z</cp:lastPrinted>
  <dcterms:created xsi:type="dcterms:W3CDTF">2013-02-18T06:03:50Z</dcterms:created>
  <dcterms:modified xsi:type="dcterms:W3CDTF">2024-12-19T08:58:53Z</dcterms:modified>
</cp:coreProperties>
</file>