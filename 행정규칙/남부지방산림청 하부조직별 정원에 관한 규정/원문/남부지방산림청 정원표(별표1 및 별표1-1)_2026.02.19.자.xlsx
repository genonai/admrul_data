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6년 업무\정현원 별도정리(이동근 주무관님)\20260219자 산림청 직제개정에 따른 훈령개정(진화 7급 1명, 9급1명, 운전 구미-양산)\260129남부청 메모보고\"/>
    </mc:Choice>
  </mc:AlternateContent>
  <xr:revisionPtr revIDLastSave="0" documentId="13_ncr:1_{CA533196-27B8-4639-A807-708A77FC0E22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기준정원(별표1)" sheetId="5" r:id="rId1"/>
    <sheet name="운영정원(별표1-1)" sheetId="6" r:id="rId2"/>
  </sheets>
  <definedNames>
    <definedName name="_xlnm.Print_Area" localSheetId="0">'기준정원(별표1)'!$A$1:$AK$17</definedName>
    <definedName name="_xlnm.Print_Area" localSheetId="1">'운영정원(별표1-1)'!$A$1:$AL$17</definedName>
  </definedNames>
  <calcPr calcId="191029"/>
</workbook>
</file>

<file path=xl/calcChain.xml><?xml version="1.0" encoding="utf-8"?>
<calcChain xmlns="http://schemas.openxmlformats.org/spreadsheetml/2006/main">
  <c r="T8" i="6" l="1"/>
  <c r="D14" i="6" l="1"/>
  <c r="D15" i="6"/>
  <c r="D16" i="6"/>
  <c r="D17" i="6"/>
  <c r="D13" i="6"/>
  <c r="D10" i="6"/>
  <c r="D11" i="6"/>
  <c r="D9" i="6"/>
  <c r="AC12" i="6"/>
  <c r="AC8" i="6"/>
  <c r="T7" i="6"/>
  <c r="T12" i="6"/>
  <c r="L12" i="6"/>
  <c r="L8" i="6"/>
  <c r="D14" i="5"/>
  <c r="D15" i="5"/>
  <c r="D16" i="5"/>
  <c r="D17" i="5"/>
  <c r="D13" i="5"/>
  <c r="D10" i="5"/>
  <c r="D11" i="5"/>
  <c r="D9" i="5"/>
  <c r="AC7" i="6" l="1"/>
  <c r="L7" i="6"/>
  <c r="AB7" i="5" l="1"/>
  <c r="AB12" i="5"/>
  <c r="AB8" i="5"/>
  <c r="S12" i="5"/>
  <c r="S8" i="5"/>
  <c r="K12" i="5"/>
  <c r="K7" i="5" s="1"/>
  <c r="K8" i="5"/>
  <c r="S7" i="5" l="1"/>
  <c r="K12" i="6"/>
  <c r="K8" i="6"/>
  <c r="S8" i="6"/>
  <c r="S7" i="6" s="1"/>
  <c r="R8" i="6"/>
  <c r="R7" i="6" s="1"/>
  <c r="R8" i="5"/>
  <c r="R7" i="5" s="1"/>
  <c r="Q8" i="5"/>
  <c r="Q7" i="5" s="1"/>
  <c r="O12" i="6"/>
  <c r="AL12" i="6"/>
  <c r="N12" i="5"/>
  <c r="N7" i="5" s="1"/>
  <c r="AK12" i="5"/>
  <c r="U12" i="6"/>
  <c r="U8" i="6"/>
  <c r="U7" i="6" s="1"/>
  <c r="M12" i="6"/>
  <c r="M8" i="6"/>
  <c r="M7" i="6" s="1"/>
  <c r="I12" i="6"/>
  <c r="I8" i="6"/>
  <c r="H12" i="6"/>
  <c r="H8" i="6"/>
  <c r="H7" i="6" s="1"/>
  <c r="T12" i="5"/>
  <c r="T8" i="5"/>
  <c r="L12" i="5"/>
  <c r="L8" i="5"/>
  <c r="I12" i="5"/>
  <c r="I8" i="5"/>
  <c r="H12" i="5"/>
  <c r="H8" i="5"/>
  <c r="U12" i="5"/>
  <c r="V12" i="6"/>
  <c r="V7" i="6" s="1"/>
  <c r="J12" i="5"/>
  <c r="C3" i="6"/>
  <c r="AC17" i="5"/>
  <c r="AC16" i="5"/>
  <c r="AC15" i="5"/>
  <c r="AC14" i="5"/>
  <c r="AC13" i="5"/>
  <c r="AJ12" i="5"/>
  <c r="AI12" i="5"/>
  <c r="AH12" i="5"/>
  <c r="AG12" i="5"/>
  <c r="AF12" i="5"/>
  <c r="AE12" i="5"/>
  <c r="AE7" i="5" s="1"/>
  <c r="AA12" i="5"/>
  <c r="Z12" i="5"/>
  <c r="Y12" i="5"/>
  <c r="Y7" i="5"/>
  <c r="X12" i="5"/>
  <c r="W12" i="5"/>
  <c r="AC11" i="5"/>
  <c r="AC10" i="5"/>
  <c r="AC9" i="5"/>
  <c r="AC8" i="5" s="1"/>
  <c r="AK8" i="5"/>
  <c r="AK7" i="5" s="1"/>
  <c r="AJ8" i="5"/>
  <c r="AI8" i="5"/>
  <c r="AI7" i="5" s="1"/>
  <c r="AH8" i="5"/>
  <c r="AH7" i="5" s="1"/>
  <c r="AG8" i="5"/>
  <c r="AF8" i="5"/>
  <c r="AE8" i="5"/>
  <c r="AD8" i="5"/>
  <c r="AA8" i="5"/>
  <c r="Z8" i="5"/>
  <c r="Y8" i="5"/>
  <c r="X8" i="5"/>
  <c r="W8" i="5"/>
  <c r="V8" i="5"/>
  <c r="V7" i="5" s="1"/>
  <c r="U8" i="5"/>
  <c r="U7" i="5" s="1"/>
  <c r="P12" i="5"/>
  <c r="O12" i="5"/>
  <c r="M12" i="5"/>
  <c r="P8" i="5"/>
  <c r="O8" i="5"/>
  <c r="O7" i="5" s="1"/>
  <c r="M8" i="5"/>
  <c r="N12" i="6"/>
  <c r="N8" i="6"/>
  <c r="J8" i="5"/>
  <c r="J7" i="5" s="1"/>
  <c r="C9" i="5"/>
  <c r="F8" i="5"/>
  <c r="F7" i="5" s="1"/>
  <c r="G8" i="5"/>
  <c r="E8" i="5"/>
  <c r="Z8" i="6"/>
  <c r="AA8" i="6"/>
  <c r="AB8" i="6"/>
  <c r="Z12" i="6"/>
  <c r="AA12" i="6"/>
  <c r="AA7" i="6" s="1"/>
  <c r="AB12" i="6"/>
  <c r="AF8" i="6"/>
  <c r="AG8" i="6"/>
  <c r="AH8" i="6"/>
  <c r="AI8" i="6"/>
  <c r="AJ8" i="6"/>
  <c r="AK8" i="6"/>
  <c r="AL8" i="6"/>
  <c r="AL7" i="6" s="1"/>
  <c r="AE8" i="6"/>
  <c r="F8" i="6"/>
  <c r="G8" i="6"/>
  <c r="G7" i="6" s="1"/>
  <c r="J8" i="6"/>
  <c r="O8" i="6"/>
  <c r="O7" i="6" s="1"/>
  <c r="P8" i="6"/>
  <c r="P7" i="6" s="1"/>
  <c r="Q8" i="6"/>
  <c r="Q7" i="6" s="1"/>
  <c r="V8" i="6"/>
  <c r="W8" i="6"/>
  <c r="W7" i="6"/>
  <c r="X8" i="6"/>
  <c r="X7" i="6" s="1"/>
  <c r="Y8" i="6"/>
  <c r="E8" i="6"/>
  <c r="E7" i="6"/>
  <c r="AD9" i="6"/>
  <c r="AD8" i="6" s="1"/>
  <c r="C11" i="5"/>
  <c r="C14" i="5"/>
  <c r="C16" i="5"/>
  <c r="AD17" i="6"/>
  <c r="AD16" i="6"/>
  <c r="AD15" i="6"/>
  <c r="AD14" i="6"/>
  <c r="AD13" i="6"/>
  <c r="AD12" i="6" s="1"/>
  <c r="AK12" i="6"/>
  <c r="AJ12" i="6"/>
  <c r="AI12" i="6"/>
  <c r="Y12" i="6"/>
  <c r="AH12" i="6"/>
  <c r="AH7" i="6" s="1"/>
  <c r="AG12" i="6"/>
  <c r="AF12" i="6"/>
  <c r="AF7" i="6"/>
  <c r="X12" i="6"/>
  <c r="Q12" i="6"/>
  <c r="P12" i="6"/>
  <c r="J12" i="6"/>
  <c r="G12" i="6"/>
  <c r="F12" i="6"/>
  <c r="E12" i="6"/>
  <c r="AD11" i="6"/>
  <c r="AD10" i="6"/>
  <c r="E12" i="5"/>
  <c r="E7" i="5" s="1"/>
  <c r="F12" i="5"/>
  <c r="G12" i="5"/>
  <c r="Z7" i="6"/>
  <c r="G7" i="5"/>
  <c r="Z7" i="5"/>
  <c r="H7" i="5"/>
  <c r="M7" i="5"/>
  <c r="P7" i="5"/>
  <c r="C14" i="6" l="1"/>
  <c r="C15" i="5"/>
  <c r="AI7" i="6"/>
  <c r="F7" i="6"/>
  <c r="C10" i="5"/>
  <c r="AB7" i="6"/>
  <c r="J7" i="6"/>
  <c r="C15" i="6"/>
  <c r="AJ7" i="5"/>
  <c r="C17" i="6"/>
  <c r="C16" i="6"/>
  <c r="AA7" i="5"/>
  <c r="AG7" i="5"/>
  <c r="AK7" i="6"/>
  <c r="AJ7" i="6"/>
  <c r="W7" i="5"/>
  <c r="D12" i="5"/>
  <c r="C13" i="6"/>
  <c r="AC12" i="5"/>
  <c r="AC7" i="5" s="1"/>
  <c r="C13" i="5"/>
  <c r="I7" i="6"/>
  <c r="AD7" i="6"/>
  <c r="L7" i="5"/>
  <c r="C11" i="6"/>
  <c r="N7" i="6"/>
  <c r="X7" i="5"/>
  <c r="T7" i="5"/>
  <c r="K7" i="6"/>
  <c r="C17" i="5"/>
  <c r="C10" i="6"/>
  <c r="I7" i="5"/>
  <c r="D12" i="6"/>
  <c r="Y7" i="6"/>
  <c r="D8" i="5"/>
  <c r="C8" i="5" s="1"/>
  <c r="D8" i="6"/>
  <c r="C9" i="6"/>
  <c r="C12" i="6" l="1"/>
  <c r="C12" i="5"/>
  <c r="C7" i="5" s="1"/>
  <c r="D7" i="6"/>
  <c r="D7" i="5"/>
  <c r="C8" i="6"/>
  <c r="C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S10" authorId="0" shapeId="0" xr:uid="{71F10F69-4862-40D4-8F30-C801B3E5BB0B}">
      <text>
        <r>
          <rPr>
            <b/>
            <sz val="14"/>
            <color indexed="81"/>
            <rFont val="돋움"/>
            <family val="3"/>
            <charset val="129"/>
          </rPr>
          <t>산림환경직류</t>
        </r>
        <r>
          <rPr>
            <b/>
            <sz val="14"/>
            <color indexed="81"/>
            <rFont val="Tahoma"/>
            <family val="2"/>
          </rPr>
          <t xml:space="preserve"> 1</t>
        </r>
        <r>
          <rPr>
            <b/>
            <sz val="14"/>
            <color indexed="81"/>
            <rFont val="돋움"/>
            <family val="3"/>
            <charset val="129"/>
          </rPr>
          <t>명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증원</t>
        </r>
      </text>
    </comment>
    <comment ref="AB10" authorId="0" shapeId="0" xr:uid="{DC369FF4-B9B5-42C8-99CE-203325FD8C63}">
      <text>
        <r>
          <rPr>
            <b/>
            <sz val="12"/>
            <color indexed="81"/>
            <rFont val="돋움"/>
            <family val="3"/>
            <charset val="129"/>
          </rPr>
          <t>산림환경직류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명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증원</t>
        </r>
      </text>
    </comment>
    <comment ref="X15" authorId="0" shapeId="0" xr:uid="{533F0B33-3B28-46AC-9E67-0EB140B14A36}">
      <text>
        <r>
          <rPr>
            <b/>
            <sz val="14"/>
            <color indexed="81"/>
            <rFont val="돋움"/>
            <family val="3"/>
            <charset val="129"/>
          </rPr>
          <t>운전직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정원</t>
        </r>
        <r>
          <rPr>
            <b/>
            <sz val="14"/>
            <color indexed="81"/>
            <rFont val="Tahoma"/>
            <family val="2"/>
          </rPr>
          <t>(1</t>
        </r>
        <r>
          <rPr>
            <b/>
            <sz val="14"/>
            <color indexed="81"/>
            <rFont val="돋움"/>
            <family val="3"/>
            <charset val="129"/>
          </rPr>
          <t>명</t>
        </r>
        <r>
          <rPr>
            <b/>
            <sz val="14"/>
            <color indexed="81"/>
            <rFont val="Tahoma"/>
            <family val="2"/>
          </rPr>
          <t>)</t>
        </r>
        <r>
          <rPr>
            <b/>
            <sz val="14"/>
            <color indexed="81"/>
            <rFont val="돋움"/>
            <family val="3"/>
            <charset val="129"/>
          </rPr>
          <t>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양산국유림관리소로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조정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T10" authorId="0" shapeId="0" xr:uid="{2146BD70-8373-427E-B452-85EBB5DEB710}">
      <text>
        <r>
          <rPr>
            <b/>
            <sz val="16"/>
            <color indexed="81"/>
            <rFont val="돋움"/>
            <family val="3"/>
            <charset val="129"/>
          </rPr>
          <t>산림환경직류</t>
        </r>
        <r>
          <rPr>
            <b/>
            <sz val="16"/>
            <color indexed="81"/>
            <rFont val="Tahoma"/>
            <family val="2"/>
          </rPr>
          <t xml:space="preserve"> 1</t>
        </r>
        <r>
          <rPr>
            <b/>
            <sz val="16"/>
            <color indexed="81"/>
            <rFont val="돋움"/>
            <family val="3"/>
            <charset val="129"/>
          </rPr>
          <t>명</t>
        </r>
        <r>
          <rPr>
            <b/>
            <sz val="16"/>
            <color indexed="81"/>
            <rFont val="Tahoma"/>
            <family val="2"/>
          </rPr>
          <t xml:space="preserve"> </t>
        </r>
        <r>
          <rPr>
            <b/>
            <sz val="16"/>
            <color indexed="81"/>
            <rFont val="돋움"/>
            <family val="3"/>
            <charset val="129"/>
          </rPr>
          <t>증원</t>
        </r>
      </text>
    </comment>
    <comment ref="AC10" authorId="0" shapeId="0" xr:uid="{9731FDC3-6631-4463-87E0-4542B40DD790}">
      <text>
        <r>
          <rPr>
            <b/>
            <sz val="14"/>
            <color indexed="81"/>
            <rFont val="돋움"/>
            <family val="3"/>
            <charset val="129"/>
          </rPr>
          <t>산림환경직류</t>
        </r>
        <r>
          <rPr>
            <b/>
            <sz val="14"/>
            <color indexed="81"/>
            <rFont val="Tahoma"/>
            <family val="2"/>
          </rPr>
          <t xml:space="preserve"> 1</t>
        </r>
        <r>
          <rPr>
            <b/>
            <sz val="14"/>
            <color indexed="81"/>
            <rFont val="돋움"/>
            <family val="3"/>
            <charset val="129"/>
          </rPr>
          <t>명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증원</t>
        </r>
      </text>
    </comment>
    <comment ref="Y15" authorId="0" shapeId="0" xr:uid="{E2E2517B-B338-424D-ABF2-C92B475FBE3C}">
      <text>
        <r>
          <rPr>
            <b/>
            <sz val="14"/>
            <color indexed="81"/>
            <rFont val="돋움"/>
            <family val="3"/>
            <charset val="129"/>
          </rPr>
          <t>운전직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정원</t>
        </r>
        <r>
          <rPr>
            <b/>
            <sz val="14"/>
            <color indexed="81"/>
            <rFont val="Tahoma"/>
            <family val="2"/>
          </rPr>
          <t>(1</t>
        </r>
        <r>
          <rPr>
            <b/>
            <sz val="14"/>
            <color indexed="81"/>
            <rFont val="돋움"/>
            <family val="3"/>
            <charset val="129"/>
          </rPr>
          <t>명</t>
        </r>
        <r>
          <rPr>
            <b/>
            <sz val="14"/>
            <color indexed="81"/>
            <rFont val="Tahoma"/>
            <family val="2"/>
          </rPr>
          <t>)</t>
        </r>
        <r>
          <rPr>
            <b/>
            <sz val="14"/>
            <color indexed="81"/>
            <rFont val="돋움"/>
            <family val="3"/>
            <charset val="129"/>
          </rPr>
          <t>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양산국유림관리소로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조정</t>
        </r>
      </text>
    </comment>
  </commentList>
</comments>
</file>

<file path=xl/sharedStrings.xml><?xml version="1.0" encoding="utf-8"?>
<sst xmlns="http://schemas.openxmlformats.org/spreadsheetml/2006/main" count="122" uniqueCount="91">
  <si>
    <t>남부지방산림청 기준 정원표</t>
    <phoneticPr fontId="4" type="noConversion"/>
  </si>
  <si>
    <t xml:space="preserve">
                  직급별
  조직별</t>
    <phoneticPr fontId="4" type="noConversion"/>
  </si>
  <si>
    <t>총
계</t>
    <phoneticPr fontId="4" type="noConversion"/>
  </si>
  <si>
    <t>계</t>
    <phoneticPr fontId="4" type="noConversion"/>
  </si>
  <si>
    <t xml:space="preserve">
고
위
공
무
원</t>
    <phoneticPr fontId="3" type="noConversion"/>
  </si>
  <si>
    <t>4급</t>
    <phoneticPr fontId="4" type="noConversion"/>
  </si>
  <si>
    <t>9급</t>
    <phoneticPr fontId="4" type="noConversion"/>
  </si>
  <si>
    <t>행임
정업
서서
기기
또
는</t>
    <phoneticPr fontId="4" type="noConversion"/>
  </si>
  <si>
    <t>행임
정업
서서
기기
보보
또
는</t>
    <phoneticPr fontId="4" type="noConversion"/>
  </si>
  <si>
    <t>남부지방산림청 운영 정원표</t>
    <phoneticPr fontId="4" type="noConversion"/>
  </si>
  <si>
    <t>(별표 1의1)</t>
    <phoneticPr fontId="3" type="noConversion"/>
  </si>
  <si>
    <t>(별표 1)</t>
    <phoneticPr fontId="3" type="noConversion"/>
  </si>
  <si>
    <t>통
신
운
영
주
사</t>
    <phoneticPr fontId="4" type="noConversion"/>
  </si>
  <si>
    <t>기
계
운
영
서
기</t>
    <phoneticPr fontId="4" type="noConversion"/>
  </si>
  <si>
    <t>통
신
운
영
서
기
보</t>
    <phoneticPr fontId="4" type="noConversion"/>
  </si>
  <si>
    <t>통
신
운
영
서
기</t>
    <phoneticPr fontId="4" type="noConversion"/>
  </si>
  <si>
    <t>운
전
서
기
보</t>
    <phoneticPr fontId="4" type="noConversion"/>
  </si>
  <si>
    <t>열
관
리
운
영
서
기
보</t>
    <phoneticPr fontId="4" type="noConversion"/>
  </si>
  <si>
    <t>기
계
운
영
서
기
보</t>
    <phoneticPr fontId="4" type="noConversion"/>
  </si>
  <si>
    <t>농
림
운
영
서
기
보</t>
    <phoneticPr fontId="4" type="noConversion"/>
  </si>
  <si>
    <t xml:space="preserve">사
무
운
영
서
기
보 
</t>
    <phoneticPr fontId="3" type="noConversion"/>
  </si>
  <si>
    <t>방
호
서
기
보</t>
    <phoneticPr fontId="4" type="noConversion"/>
  </si>
  <si>
    <t>관리운영직군</t>
    <phoneticPr fontId="3" type="noConversion"/>
  </si>
  <si>
    <t>관리운영직군</t>
    <phoneticPr fontId="4" type="noConversion"/>
  </si>
  <si>
    <t xml:space="preserve">공
업
주
사
보
</t>
    <phoneticPr fontId="3" type="noConversion"/>
  </si>
  <si>
    <t>방
송
통
신
서
기</t>
    <phoneticPr fontId="3" type="noConversion"/>
  </si>
  <si>
    <t>공
업
서
기
보</t>
    <phoneticPr fontId="3" type="noConversion"/>
  </si>
  <si>
    <t>방
송
통
신
서
기
보</t>
    <phoneticPr fontId="3" type="noConversion"/>
  </si>
  <si>
    <t>운
전
서
기</t>
    <phoneticPr fontId="3" type="noConversion"/>
  </si>
  <si>
    <t>남부지방산림청</t>
    <phoneticPr fontId="4" type="noConversion"/>
  </si>
  <si>
    <t>지
방
청</t>
    <phoneticPr fontId="4" type="noConversion"/>
  </si>
  <si>
    <t>소계</t>
    <phoneticPr fontId="4" type="noConversion"/>
  </si>
  <si>
    <t>산림경영과</t>
    <phoneticPr fontId="4" type="noConversion"/>
  </si>
  <si>
    <t>국
유
림
관
리
소</t>
    <phoneticPr fontId="4" type="noConversion"/>
  </si>
  <si>
    <t>행임
정업
주주
사사
보보
또
는</t>
    <phoneticPr fontId="3" type="noConversion"/>
  </si>
  <si>
    <t>방
송
통
신
주
사
보</t>
    <phoneticPr fontId="4" type="noConversion"/>
  </si>
  <si>
    <t>지
방
청</t>
    <phoneticPr fontId="4" type="noConversion"/>
  </si>
  <si>
    <t>소계</t>
    <phoneticPr fontId="4" type="noConversion"/>
  </si>
  <si>
    <t>산림경영과</t>
    <phoneticPr fontId="4" type="noConversion"/>
  </si>
  <si>
    <t>국
유
림
관
리
소</t>
    <phoneticPr fontId="4" type="noConversion"/>
  </si>
  <si>
    <t>영주</t>
    <phoneticPr fontId="4" type="noConversion"/>
  </si>
  <si>
    <t>영덕</t>
    <phoneticPr fontId="4" type="noConversion"/>
  </si>
  <si>
    <t>구미</t>
    <phoneticPr fontId="4" type="noConversion"/>
  </si>
  <si>
    <t>울진</t>
    <phoneticPr fontId="4" type="noConversion"/>
  </si>
  <si>
    <t>양산</t>
    <phoneticPr fontId="4" type="noConversion"/>
  </si>
  <si>
    <t xml:space="preserve">사
무
운
영
서
기
보 
</t>
    <phoneticPr fontId="3" type="noConversion"/>
  </si>
  <si>
    <t>소계</t>
    <phoneticPr fontId="4" type="noConversion"/>
  </si>
  <si>
    <t>영주</t>
    <phoneticPr fontId="4" type="noConversion"/>
  </si>
  <si>
    <t>영덕</t>
    <phoneticPr fontId="4" type="noConversion"/>
  </si>
  <si>
    <t>구미</t>
    <phoneticPr fontId="4" type="noConversion"/>
  </si>
  <si>
    <t>울진</t>
    <phoneticPr fontId="4" type="noConversion"/>
  </si>
  <si>
    <t>양산</t>
    <phoneticPr fontId="4" type="noConversion"/>
  </si>
  <si>
    <t>남부지방산림청</t>
    <phoneticPr fontId="4" type="noConversion"/>
  </si>
  <si>
    <t>5급</t>
    <phoneticPr fontId="4" type="noConversion"/>
  </si>
  <si>
    <t>행임
정업
주주
사사
또
는</t>
    <phoneticPr fontId="4" type="noConversion"/>
  </si>
  <si>
    <t>6급</t>
    <phoneticPr fontId="4" type="noConversion"/>
  </si>
  <si>
    <t>7급</t>
    <phoneticPr fontId="4" type="noConversion"/>
  </si>
  <si>
    <t>8급</t>
    <phoneticPr fontId="4" type="noConversion"/>
  </si>
  <si>
    <t>5급</t>
    <phoneticPr fontId="3" type="noConversion"/>
  </si>
  <si>
    <t>행임
정업
사사
무무
관관
또
는</t>
    <phoneticPr fontId="4" type="noConversion"/>
  </si>
  <si>
    <t>8급</t>
    <phoneticPr fontId="3" type="noConversion"/>
  </si>
  <si>
    <t>7급</t>
    <phoneticPr fontId="3" type="noConversion"/>
  </si>
  <si>
    <t>6급</t>
    <phoneticPr fontId="3" type="noConversion"/>
  </si>
  <si>
    <t>행임
정업
서서
기기
또
는</t>
    <phoneticPr fontId="4" type="noConversion"/>
  </si>
  <si>
    <t>4·5급</t>
    <phoneticPr fontId="3" type="noConversion"/>
  </si>
  <si>
    <t>또는 임업연구사
행정주사보·임업주사보·</t>
    <phoneticPr fontId="3" type="noConversion"/>
  </si>
  <si>
    <t>4·5급</t>
    <phoneticPr fontId="4" type="noConversion"/>
  </si>
  <si>
    <t>공시
업설
주주
사사
보보
또
는</t>
    <phoneticPr fontId="4" type="noConversion"/>
  </si>
  <si>
    <t>보
건
주
사
보</t>
    <phoneticPr fontId="3" type="noConversion"/>
  </si>
  <si>
    <t xml:space="preserve">행임
정업
서서
기기
보보
또
는 </t>
    <phoneticPr fontId="4" type="noConversion"/>
  </si>
  <si>
    <t>일  반  직</t>
    <phoneticPr fontId="4" type="noConversion"/>
  </si>
  <si>
    <t>운
전
주
사</t>
    <phoneticPr fontId="3" type="noConversion"/>
  </si>
  <si>
    <t>또는 시설주사보
행정주사보·임업주사보·</t>
    <phoneticPr fontId="3" type="noConversion"/>
  </si>
  <si>
    <t>행임
정업
사사
무무
관관
또
는</t>
    <phoneticPr fontId="3" type="noConversion"/>
  </si>
  <si>
    <t>행임
정업
주주
사사
또
는</t>
    <phoneticPr fontId="3" type="noConversion"/>
  </si>
  <si>
    <t>또는 방재안전주사
행정주사·임업주사</t>
    <phoneticPr fontId="3" type="noConversion"/>
  </si>
  <si>
    <t>또는 임업연구사
행정주사보·임업주사보</t>
    <phoneticPr fontId="3" type="noConversion"/>
  </si>
  <si>
    <t>또는 시설주사보
행정주사보·임업주사보</t>
    <phoneticPr fontId="3" type="noConversion"/>
  </si>
  <si>
    <t>과학기술서기관 
서기관 또는</t>
    <phoneticPr fontId="4" type="noConversion"/>
  </si>
  <si>
    <t>행정사무관 또는 임업사무관
서기관·과학기술서기관·</t>
    <phoneticPr fontId="4" type="noConversion"/>
  </si>
  <si>
    <t>행정사무관 또는 임업사무관
서기관·과학기술서기관·</t>
    <phoneticPr fontId="3" type="noConversion"/>
  </si>
  <si>
    <t>산림재난안전과</t>
    <phoneticPr fontId="3" type="noConversion"/>
  </si>
  <si>
    <t>운영재산관리팀</t>
    <phoneticPr fontId="3" type="noConversion"/>
  </si>
  <si>
    <t>운영재산관리팀</t>
    <phoneticPr fontId="4" type="noConversion"/>
  </si>
  <si>
    <t>임업주사</t>
    <phoneticPr fontId="4" type="noConversion"/>
  </si>
  <si>
    <t>임업주사보</t>
    <phoneticPr fontId="4" type="noConversion"/>
  </si>
  <si>
    <t>임업서기보</t>
    <phoneticPr fontId="4" type="noConversion"/>
  </si>
  <si>
    <t>임업주사</t>
    <phoneticPr fontId="3" type="noConversion"/>
  </si>
  <si>
    <t>임업주사보</t>
    <phoneticPr fontId="3" type="noConversion"/>
  </si>
  <si>
    <t>임업서기보</t>
    <phoneticPr fontId="3" type="noConversion"/>
  </si>
  <si>
    <t>2026.2.19 기준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</si>
</sst>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2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10"/>
      <name val="바탕"/>
      <family val="1"/>
      <charset val="129"/>
    </font>
    <font>
      <sz val="8"/>
      <name val="돋움"/>
      <family val="3"/>
      <charset val="129"/>
    </font>
    <font>
      <sz val="8"/>
      <name val="바탕"/>
      <family val="1"/>
      <charset val="129"/>
    </font>
    <font>
      <b/>
      <sz val="30"/>
      <name val="바탕"/>
      <family val="1"/>
      <charset val="129"/>
    </font>
    <font>
      <sz val="14"/>
      <name val="바탕"/>
      <family val="1"/>
      <charset val="129"/>
    </font>
    <font>
      <b/>
      <sz val="16"/>
      <name val="돋움"/>
      <family val="3"/>
      <charset val="129"/>
    </font>
    <font>
      <b/>
      <sz val="11"/>
      <name val="돋움"/>
      <family val="3"/>
      <charset val="129"/>
    </font>
    <font>
      <sz val="12"/>
      <name val="굴림"/>
      <family val="3"/>
      <charset val="129"/>
    </font>
    <font>
      <sz val="16"/>
      <name val="바탕"/>
      <family val="1"/>
      <charset val="129"/>
    </font>
    <font>
      <b/>
      <sz val="14"/>
      <name val="바탕"/>
      <family val="1"/>
      <charset val="129"/>
    </font>
    <font>
      <b/>
      <sz val="16"/>
      <name val="바탕"/>
      <family val="1"/>
      <charset val="129"/>
    </font>
    <font>
      <sz val="12"/>
      <name val="바탕"/>
      <family val="1"/>
      <charset val="129"/>
    </font>
    <font>
      <b/>
      <sz val="16"/>
      <color rgb="FFFF0000"/>
      <name val="바탕"/>
      <family val="1"/>
      <charset val="129"/>
    </font>
    <font>
      <sz val="16"/>
      <color rgb="FFFF0000"/>
      <name val="바탕"/>
      <family val="1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12"/>
      <color indexed="81"/>
      <name val="돋움"/>
      <family val="3"/>
      <charset val="129"/>
    </font>
    <font>
      <b/>
      <sz val="12"/>
      <color indexed="81"/>
      <name val="Tahoma"/>
      <family val="2"/>
    </font>
    <font>
      <b/>
      <sz val="16"/>
      <color indexed="81"/>
      <name val="돋움"/>
      <family val="3"/>
      <charset val="129"/>
    </font>
    <font>
      <b/>
      <sz val="16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double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 diagonalDown="1">
      <left style="medium">
        <color indexed="64"/>
      </left>
      <right/>
      <top style="medium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medium">
        <color indexed="64"/>
      </top>
      <bottom/>
      <diagonal style="hair">
        <color indexed="64"/>
      </diagonal>
    </border>
    <border diagonalDown="1">
      <left style="medium">
        <color indexed="64"/>
      </left>
      <right/>
      <top/>
      <bottom/>
      <diagonal style="hair">
        <color indexed="64"/>
      </diagonal>
    </border>
    <border diagonalDown="1">
      <left/>
      <right style="thin">
        <color indexed="64"/>
      </right>
      <top/>
      <bottom/>
      <diagonal style="hair">
        <color indexed="64"/>
      </diagonal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</cellStyleXfs>
  <cellXfs count="118">
    <xf numFmtId="0" fontId="0" fillId="0" borderId="0" xfId="0">
      <alignment vertical="center"/>
    </xf>
    <xf numFmtId="41" fontId="2" fillId="0" borderId="0" xfId="1" applyFont="1" applyFill="1" applyAlignment="1"/>
    <xf numFmtId="41" fontId="2" fillId="0" borderId="0" xfId="1" applyFont="1" applyFill="1" applyBorder="1" applyAlignment="1">
      <alignment horizontal="center"/>
    </xf>
    <xf numFmtId="41" fontId="6" fillId="0" borderId="0" xfId="1" applyFont="1" applyFill="1" applyBorder="1" applyAlignment="1">
      <alignment horizontal="left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41" fontId="9" fillId="0" borderId="0" xfId="1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41" fontId="6" fillId="0" borderId="3" xfId="1" applyFont="1" applyFill="1" applyBorder="1" applyAlignment="1">
      <alignment horizontal="left" vertical="center"/>
    </xf>
    <xf numFmtId="41" fontId="11" fillId="0" borderId="3" xfId="1" applyFont="1" applyFill="1" applyBorder="1" applyAlignment="1">
      <alignment horizontal="left"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49" fontId="6" fillId="0" borderId="9" xfId="1" applyNumberFormat="1" applyFont="1" applyFill="1" applyBorder="1" applyAlignment="1">
      <alignment horizontal="center" vertical="top" wrapText="1"/>
    </xf>
    <xf numFmtId="49" fontId="6" fillId="0" borderId="5" xfId="1" applyNumberFormat="1" applyFont="1" applyFill="1" applyBorder="1" applyAlignment="1">
      <alignment horizontal="center" vertical="top" textRotation="255" wrapText="1"/>
    </xf>
    <xf numFmtId="41" fontId="10" fillId="5" borderId="4" xfId="1" applyFont="1" applyFill="1" applyBorder="1" applyAlignment="1">
      <alignment vertical="center"/>
    </xf>
    <xf numFmtId="41" fontId="10" fillId="2" borderId="1" xfId="1" applyFont="1" applyFill="1" applyBorder="1" applyAlignment="1">
      <alignment vertical="center"/>
    </xf>
    <xf numFmtId="49" fontId="6" fillId="0" borderId="15" xfId="1" applyNumberFormat="1" applyFont="1" applyFill="1" applyBorder="1" applyAlignment="1">
      <alignment horizontal="center" vertical="center"/>
    </xf>
    <xf numFmtId="49" fontId="6" fillId="0" borderId="15" xfId="1" applyNumberFormat="1" applyFont="1" applyFill="1" applyBorder="1" applyAlignment="1">
      <alignment horizontal="center" vertical="top" wrapText="1"/>
    </xf>
    <xf numFmtId="49" fontId="6" fillId="0" borderId="16" xfId="1" applyNumberFormat="1" applyFont="1" applyFill="1" applyBorder="1" applyAlignment="1">
      <alignment horizontal="center" vertical="top" wrapText="1"/>
    </xf>
    <xf numFmtId="41" fontId="12" fillId="5" borderId="4" xfId="1" applyFont="1" applyFill="1" applyBorder="1" applyAlignment="1">
      <alignment vertical="center"/>
    </xf>
    <xf numFmtId="41" fontId="12" fillId="2" borderId="1" xfId="1" applyFont="1" applyFill="1" applyBorder="1" applyAlignment="1">
      <alignment vertical="center"/>
    </xf>
    <xf numFmtId="49" fontId="6" fillId="0" borderId="17" xfId="1" applyNumberFormat="1" applyFont="1" applyFill="1" applyBorder="1" applyAlignment="1">
      <alignment horizontal="center" vertical="top" wrapText="1"/>
    </xf>
    <xf numFmtId="41" fontId="12" fillId="5" borderId="13" xfId="1" applyFont="1" applyFill="1" applyBorder="1" applyAlignment="1">
      <alignment vertical="center"/>
    </xf>
    <xf numFmtId="41" fontId="12" fillId="2" borderId="10" xfId="1" applyFont="1" applyFill="1" applyBorder="1" applyAlignment="1">
      <alignment vertical="center"/>
    </xf>
    <xf numFmtId="49" fontId="6" fillId="4" borderId="8" xfId="1" applyNumberFormat="1" applyFont="1" applyFill="1" applyBorder="1" applyAlignment="1">
      <alignment horizontal="center" vertical="top" wrapText="1"/>
    </xf>
    <xf numFmtId="49" fontId="6" fillId="0" borderId="16" xfId="1" applyNumberFormat="1" applyFont="1" applyFill="1" applyBorder="1" applyAlignment="1">
      <alignment horizontal="center" vertical="top" textRotation="255" wrapText="1"/>
    </xf>
    <xf numFmtId="49" fontId="6" fillId="4" borderId="15" xfId="1" applyNumberFormat="1" applyFont="1" applyFill="1" applyBorder="1" applyAlignment="1">
      <alignment horizontal="center" vertical="top" wrapText="1"/>
    </xf>
    <xf numFmtId="49" fontId="6" fillId="0" borderId="45" xfId="2" applyNumberFormat="1" applyFont="1" applyFill="1" applyBorder="1" applyAlignment="1">
      <alignment horizontal="center" vertical="top" textRotation="255" wrapText="1"/>
    </xf>
    <xf numFmtId="41" fontId="10" fillId="0" borderId="1" xfId="1" applyFont="1" applyFill="1" applyBorder="1" applyAlignment="1">
      <alignment vertical="center"/>
    </xf>
    <xf numFmtId="41" fontId="6" fillId="0" borderId="0" xfId="1" applyFont="1" applyFill="1" applyBorder="1" applyAlignment="1">
      <alignment vertical="center"/>
    </xf>
    <xf numFmtId="41" fontId="10" fillId="4" borderId="1" xfId="1" applyFont="1" applyFill="1" applyBorder="1" applyAlignment="1">
      <alignment vertical="center"/>
    </xf>
    <xf numFmtId="41" fontId="12" fillId="3" borderId="10" xfId="1" applyFont="1" applyFill="1" applyBorder="1" applyAlignment="1">
      <alignment vertical="center"/>
    </xf>
    <xf numFmtId="41" fontId="12" fillId="3" borderId="11" xfId="1" applyFont="1" applyFill="1" applyBorder="1" applyAlignment="1">
      <alignment vertical="center"/>
    </xf>
    <xf numFmtId="41" fontId="12" fillId="2" borderId="12" xfId="1" applyFont="1" applyFill="1" applyBorder="1" applyAlignment="1">
      <alignment horizontal="center" vertical="center"/>
    </xf>
    <xf numFmtId="41" fontId="12" fillId="3" borderId="13" xfId="1" applyFont="1" applyFill="1" applyBorder="1" applyAlignment="1">
      <alignment vertical="center"/>
    </xf>
    <xf numFmtId="41" fontId="12" fillId="3" borderId="18" xfId="1" applyFont="1" applyFill="1" applyBorder="1" applyAlignment="1">
      <alignment vertical="center"/>
    </xf>
    <xf numFmtId="41" fontId="12" fillId="4" borderId="1" xfId="1" applyFont="1" applyFill="1" applyBorder="1" applyAlignment="1">
      <alignment vertical="center"/>
    </xf>
    <xf numFmtId="41" fontId="12" fillId="4" borderId="1" xfId="1" applyFont="1" applyFill="1" applyBorder="1" applyAlignment="1">
      <alignment horizontal="center" vertical="center"/>
    </xf>
    <xf numFmtId="41" fontId="12" fillId="2" borderId="7" xfId="1" applyFont="1" applyFill="1" applyBorder="1" applyAlignment="1">
      <alignment horizontal="center" vertical="center"/>
    </xf>
    <xf numFmtId="41" fontId="12" fillId="0" borderId="1" xfId="1" applyFont="1" applyFill="1" applyBorder="1" applyAlignment="1">
      <alignment vertical="center"/>
    </xf>
    <xf numFmtId="41" fontId="12" fillId="0" borderId="19" xfId="1" applyFont="1" applyFill="1" applyBorder="1" applyAlignment="1">
      <alignment vertical="center"/>
    </xf>
    <xf numFmtId="41" fontId="10" fillId="2" borderId="7" xfId="1" applyFont="1" applyFill="1" applyBorder="1" applyAlignment="1">
      <alignment horizontal="center" vertical="center"/>
    </xf>
    <xf numFmtId="41" fontId="10" fillId="0" borderId="19" xfId="1" applyFont="1" applyFill="1" applyBorder="1" applyAlignment="1">
      <alignment vertical="center"/>
    </xf>
    <xf numFmtId="41" fontId="6" fillId="0" borderId="3" xfId="1" applyFont="1" applyFill="1" applyBorder="1" applyAlignment="1">
      <alignment vertical="center"/>
    </xf>
    <xf numFmtId="41" fontId="12" fillId="0" borderId="1" xfId="1" applyFont="1" applyFill="1" applyBorder="1" applyAlignment="1">
      <alignment horizontal="center" vertical="center"/>
    </xf>
    <xf numFmtId="49" fontId="6" fillId="0" borderId="8" xfId="1" applyNumberFormat="1" applyFont="1" applyFill="1" applyBorder="1" applyAlignment="1">
      <alignment horizontal="center" vertical="center"/>
    </xf>
    <xf numFmtId="49" fontId="6" fillId="0" borderId="14" xfId="1" applyNumberFormat="1" applyFont="1" applyFill="1" applyBorder="1" applyAlignment="1">
      <alignment horizontal="center" vertical="center"/>
    </xf>
    <xf numFmtId="49" fontId="6" fillId="0" borderId="8" xfId="1" applyNumberFormat="1" applyFont="1" applyFill="1" applyBorder="1" applyAlignment="1">
      <alignment horizontal="center" vertical="top" wrapText="1"/>
    </xf>
    <xf numFmtId="41" fontId="14" fillId="3" borderId="10" xfId="1" applyFont="1" applyFill="1" applyBorder="1" applyAlignment="1">
      <alignment vertical="center"/>
    </xf>
    <xf numFmtId="41" fontId="15" fillId="4" borderId="1" xfId="1" applyFont="1" applyFill="1" applyBorder="1" applyAlignment="1">
      <alignment vertical="center"/>
    </xf>
    <xf numFmtId="41" fontId="15" fillId="0" borderId="1" xfId="1" applyFont="1" applyFill="1" applyBorder="1" applyAlignment="1">
      <alignment vertical="center"/>
    </xf>
    <xf numFmtId="49" fontId="6" fillId="0" borderId="27" xfId="1" applyNumberFormat="1" applyFont="1" applyFill="1" applyBorder="1" applyAlignment="1">
      <alignment horizontal="center" vertical="top" wrapText="1"/>
    </xf>
    <xf numFmtId="49" fontId="6" fillId="0" borderId="49" xfId="1" applyNumberFormat="1" applyFont="1" applyFill="1" applyBorder="1" applyAlignment="1">
      <alignment horizontal="center" vertical="top" wrapText="1"/>
    </xf>
    <xf numFmtId="41" fontId="12" fillId="3" borderId="50" xfId="1" applyFont="1" applyFill="1" applyBorder="1" applyAlignment="1">
      <alignment vertical="center"/>
    </xf>
    <xf numFmtId="41" fontId="12" fillId="0" borderId="8" xfId="1" applyFont="1" applyFill="1" applyBorder="1" applyAlignment="1">
      <alignment vertical="center"/>
    </xf>
    <xf numFmtId="41" fontId="10" fillId="0" borderId="27" xfId="1" applyFont="1" applyFill="1" applyBorder="1" applyAlignment="1">
      <alignment vertical="center"/>
    </xf>
    <xf numFmtId="41" fontId="15" fillId="0" borderId="47" xfId="1" applyFont="1" applyFill="1" applyBorder="1" applyAlignment="1">
      <alignment vertical="center"/>
    </xf>
    <xf numFmtId="41" fontId="15" fillId="4" borderId="47" xfId="1" applyFont="1" applyFill="1" applyBorder="1" applyAlignment="1">
      <alignment vertical="center"/>
    </xf>
    <xf numFmtId="41" fontId="14" fillId="3" borderId="50" xfId="1" applyFont="1" applyFill="1" applyBorder="1" applyAlignment="1">
      <alignment vertical="center"/>
    </xf>
    <xf numFmtId="41" fontId="12" fillId="0" borderId="19" xfId="1" applyFont="1" applyFill="1" applyBorder="1" applyAlignment="1">
      <alignment horizontal="center" vertical="center"/>
    </xf>
    <xf numFmtId="41" fontId="10" fillId="0" borderId="1" xfId="1" applyFont="1" applyFill="1" applyBorder="1" applyAlignment="1">
      <alignment horizontal="center" vertical="center"/>
    </xf>
    <xf numFmtId="0" fontId="10" fillId="4" borderId="1" xfId="1" applyNumberFormat="1" applyFont="1" applyFill="1" applyBorder="1" applyAlignment="1">
      <alignment vertical="center"/>
    </xf>
    <xf numFmtId="41" fontId="6" fillId="0" borderId="52" xfId="1" applyFont="1" applyFill="1" applyBorder="1" applyAlignment="1">
      <alignment horizontal="left" vertical="center"/>
    </xf>
    <xf numFmtId="41" fontId="10" fillId="5" borderId="53" xfId="1" applyFont="1" applyFill="1" applyBorder="1" applyAlignment="1">
      <alignment vertical="center"/>
    </xf>
    <xf numFmtId="41" fontId="10" fillId="4" borderId="54" xfId="1" applyFont="1" applyFill="1" applyBorder="1" applyAlignment="1">
      <alignment vertical="center"/>
    </xf>
    <xf numFmtId="41" fontId="10" fillId="2" borderId="51" xfId="1" applyFont="1" applyFill="1" applyBorder="1" applyAlignment="1">
      <alignment horizontal="center" vertical="center"/>
    </xf>
    <xf numFmtId="41" fontId="10" fillId="0" borderId="54" xfId="1" applyFont="1" applyFill="1" applyBorder="1" applyAlignment="1">
      <alignment vertical="center"/>
    </xf>
    <xf numFmtId="41" fontId="10" fillId="0" borderId="56" xfId="1" applyFont="1" applyFill="1" applyBorder="1" applyAlignment="1">
      <alignment vertical="center"/>
    </xf>
    <xf numFmtId="41" fontId="10" fillId="4" borderId="1" xfId="1" applyFont="1" applyFill="1" applyBorder="1" applyAlignment="1">
      <alignment horizontal="center" vertical="center"/>
    </xf>
    <xf numFmtId="41" fontId="14" fillId="3" borderId="11" xfId="1" applyFont="1" applyFill="1" applyBorder="1" applyAlignment="1">
      <alignment vertical="center"/>
    </xf>
    <xf numFmtId="49" fontId="6" fillId="0" borderId="8" xfId="1" applyNumberFormat="1" applyFont="1" applyFill="1" applyBorder="1" applyAlignment="1">
      <alignment horizontal="center" vertical="top" textRotation="255" wrapText="1"/>
    </xf>
    <xf numFmtId="41" fontId="10" fillId="0" borderId="47" xfId="1" applyFont="1" applyFill="1" applyBorder="1" applyAlignment="1">
      <alignment vertical="center"/>
    </xf>
    <xf numFmtId="41" fontId="10" fillId="4" borderId="47" xfId="1" applyFont="1" applyFill="1" applyBorder="1" applyAlignment="1">
      <alignment vertical="center"/>
    </xf>
    <xf numFmtId="41" fontId="10" fillId="4" borderId="55" xfId="1" applyFont="1" applyFill="1" applyBorder="1" applyAlignment="1">
      <alignment vertical="center"/>
    </xf>
    <xf numFmtId="49" fontId="6" fillId="0" borderId="0" xfId="1" applyNumberFormat="1" applyFont="1" applyFill="1" applyBorder="1" applyAlignment="1">
      <alignment horizontal="center" vertical="top" textRotation="255" wrapText="1"/>
    </xf>
    <xf numFmtId="41" fontId="12" fillId="4" borderId="47" xfId="1" applyFont="1" applyFill="1" applyBorder="1" applyAlignment="1">
      <alignment vertical="center"/>
    </xf>
    <xf numFmtId="41" fontId="15" fillId="4" borderId="54" xfId="1" applyFont="1" applyFill="1" applyBorder="1" applyAlignment="1">
      <alignment vertical="center"/>
    </xf>
    <xf numFmtId="41" fontId="11" fillId="3" borderId="20" xfId="1" applyFont="1" applyFill="1" applyBorder="1" applyAlignment="1">
      <alignment vertical="center"/>
    </xf>
    <xf numFmtId="0" fontId="11" fillId="0" borderId="21" xfId="0" applyFont="1" applyBorder="1" applyAlignment="1">
      <alignment vertical="center"/>
    </xf>
    <xf numFmtId="41" fontId="6" fillId="0" borderId="22" xfId="1" applyFont="1" applyFill="1" applyBorder="1" applyAlignment="1">
      <alignment horizontal="center" vertical="center" wrapText="1"/>
    </xf>
    <xf numFmtId="41" fontId="6" fillId="0" borderId="23" xfId="1" applyFont="1" applyFill="1" applyBorder="1" applyAlignment="1">
      <alignment horizontal="center" vertical="center"/>
    </xf>
    <xf numFmtId="41" fontId="6" fillId="0" borderId="24" xfId="1" applyFont="1" applyFill="1" applyBorder="1" applyAlignment="1">
      <alignment horizontal="center" vertical="center"/>
    </xf>
    <xf numFmtId="41" fontId="6" fillId="0" borderId="25" xfId="1" applyFont="1" applyFill="1" applyBorder="1" applyAlignment="1">
      <alignment horizontal="center" vertical="center" wrapText="1"/>
    </xf>
    <xf numFmtId="41" fontId="6" fillId="0" borderId="26" xfId="1" applyFont="1" applyFill="1" applyBorder="1" applyAlignment="1">
      <alignment horizontal="center" vertical="center" wrapText="1"/>
    </xf>
    <xf numFmtId="41" fontId="6" fillId="0" borderId="26" xfId="1" applyFont="1" applyFill="1" applyBorder="1" applyAlignment="1">
      <alignment horizontal="center" vertical="center"/>
    </xf>
    <xf numFmtId="49" fontId="6" fillId="0" borderId="8" xfId="1" applyNumberFormat="1" applyFont="1" applyFill="1" applyBorder="1" applyAlignment="1">
      <alignment horizontal="center" vertical="top" wrapText="1"/>
    </xf>
    <xf numFmtId="49" fontId="6" fillId="0" borderId="46" xfId="1" applyNumberFormat="1" applyFont="1" applyFill="1" applyBorder="1" applyAlignment="1">
      <alignment horizontal="center" vertical="top" wrapText="1"/>
    </xf>
    <xf numFmtId="49" fontId="6" fillId="0" borderId="28" xfId="1" applyNumberFormat="1" applyFont="1" applyFill="1" applyBorder="1" applyAlignment="1">
      <alignment horizontal="center" vertical="center"/>
    </xf>
    <xf numFmtId="49" fontId="6" fillId="0" borderId="29" xfId="1" applyNumberFormat="1" applyFont="1" applyFill="1" applyBorder="1" applyAlignment="1">
      <alignment horizontal="center" vertical="center"/>
    </xf>
    <xf numFmtId="49" fontId="6" fillId="0" borderId="30" xfId="1" applyNumberFormat="1" applyFont="1" applyFill="1" applyBorder="1" applyAlignment="1">
      <alignment horizontal="center" vertical="center"/>
    </xf>
    <xf numFmtId="49" fontId="6" fillId="0" borderId="31" xfId="1" applyNumberFormat="1" applyFont="1" applyFill="1" applyBorder="1" applyAlignment="1">
      <alignment horizontal="center" vertical="center"/>
    </xf>
    <xf numFmtId="49" fontId="6" fillId="0" borderId="14" xfId="1" applyNumberFormat="1" applyFont="1" applyFill="1" applyBorder="1" applyAlignment="1">
      <alignment horizontal="center" vertical="center"/>
    </xf>
    <xf numFmtId="49" fontId="6" fillId="0" borderId="32" xfId="1" applyNumberFormat="1" applyFont="1" applyFill="1" applyBorder="1" applyAlignment="1">
      <alignment horizontal="center" vertical="center"/>
    </xf>
    <xf numFmtId="49" fontId="6" fillId="0" borderId="33" xfId="1" applyNumberFormat="1" applyFont="1" applyFill="1" applyBorder="1" applyAlignment="1">
      <alignment horizontal="center" vertical="center"/>
    </xf>
    <xf numFmtId="49" fontId="6" fillId="0" borderId="34" xfId="1" applyNumberFormat="1" applyFont="1" applyFill="1" applyBorder="1" applyAlignment="1">
      <alignment horizontal="center" vertical="center"/>
    </xf>
    <xf numFmtId="49" fontId="6" fillId="0" borderId="6" xfId="1" applyNumberFormat="1" applyFont="1" applyFill="1" applyBorder="1" applyAlignment="1">
      <alignment horizontal="center" vertical="center"/>
    </xf>
    <xf numFmtId="49" fontId="6" fillId="0" borderId="2" xfId="1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49" fontId="6" fillId="0" borderId="35" xfId="1" applyNumberFormat="1" applyFont="1" applyFill="1" applyBorder="1" applyAlignment="1">
      <alignment vertical="top" wrapText="1"/>
    </xf>
    <xf numFmtId="0" fontId="6" fillId="0" borderId="36" xfId="0" applyFont="1" applyBorder="1" applyAlignment="1"/>
    <xf numFmtId="0" fontId="6" fillId="0" borderId="37" xfId="0" applyFont="1" applyBorder="1" applyAlignment="1"/>
    <xf numFmtId="0" fontId="6" fillId="0" borderId="38" xfId="0" applyFont="1" applyBorder="1" applyAlignment="1"/>
    <xf numFmtId="49" fontId="6" fillId="0" borderId="39" xfId="1" applyNumberFormat="1" applyFont="1" applyFill="1" applyBorder="1" applyAlignment="1">
      <alignment horizontal="center" vertical="center" wrapText="1"/>
    </xf>
    <xf numFmtId="49" fontId="6" fillId="0" borderId="40" xfId="1" applyNumberFormat="1" applyFont="1" applyFill="1" applyBorder="1" applyAlignment="1">
      <alignment horizontal="center" vertical="center" wrapText="1"/>
    </xf>
    <xf numFmtId="49" fontId="6" fillId="0" borderId="8" xfId="1" applyNumberFormat="1" applyFont="1" applyFill="1" applyBorder="1" applyAlignment="1">
      <alignment horizontal="center" vertical="center"/>
    </xf>
    <xf numFmtId="49" fontId="6" fillId="0" borderId="27" xfId="1" applyNumberFormat="1" applyFont="1" applyFill="1" applyBorder="1" applyAlignment="1">
      <alignment horizontal="center" vertical="center"/>
    </xf>
    <xf numFmtId="49" fontId="6" fillId="0" borderId="42" xfId="1" applyNumberFormat="1" applyFont="1" applyFill="1" applyBorder="1" applyAlignment="1">
      <alignment horizontal="center" vertical="center"/>
    </xf>
    <xf numFmtId="49" fontId="6" fillId="0" borderId="43" xfId="1" applyNumberFormat="1" applyFont="1" applyFill="1" applyBorder="1" applyAlignment="1">
      <alignment horizontal="center" vertical="center"/>
    </xf>
    <xf numFmtId="49" fontId="6" fillId="0" borderId="44" xfId="1" applyNumberFormat="1" applyFont="1" applyFill="1" applyBorder="1" applyAlignment="1">
      <alignment horizontal="center" vertical="center"/>
    </xf>
    <xf numFmtId="49" fontId="6" fillId="0" borderId="9" xfId="1" applyNumberFormat="1" applyFont="1" applyFill="1" applyBorder="1" applyAlignment="1">
      <alignment horizontal="center" vertical="center"/>
    </xf>
    <xf numFmtId="49" fontId="6" fillId="0" borderId="41" xfId="1" applyNumberFormat="1" applyFont="1" applyFill="1" applyBorder="1" applyAlignment="1">
      <alignment horizontal="center" vertical="center"/>
    </xf>
    <xf numFmtId="49" fontId="6" fillId="0" borderId="48" xfId="1" applyNumberFormat="1" applyFont="1" applyFill="1" applyBorder="1" applyAlignment="1">
      <alignment horizontal="center" vertical="center"/>
    </xf>
    <xf numFmtId="49" fontId="6" fillId="0" borderId="33" xfId="1" applyNumberFormat="1" applyFont="1" applyFill="1" applyBorder="1" applyAlignment="1">
      <alignment horizontal="center" vertical="center" wrapText="1"/>
    </xf>
    <xf numFmtId="49" fontId="6" fillId="0" borderId="34" xfId="1" applyNumberFormat="1" applyFont="1" applyFill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1" xfId="0" applyFont="1" applyBorder="1" applyAlignment="1">
      <alignment vertical="center"/>
    </xf>
  </cellXfs>
  <cellStyles count="3">
    <cellStyle name="쉼표 [0]" xfId="1" builtinId="6"/>
    <cellStyle name="쉼표 [0] 2" xfId="2" xr:uid="{00000000-0005-0000-0000-000001000000}"/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25"/>
  <sheetViews>
    <sheetView tabSelected="1" view="pageBreakPreview" zoomScale="55" zoomScaleNormal="75" zoomScaleSheetLayoutView="55" workbookViewId="0">
      <pane xSplit="2" ySplit="7" topLeftCell="C8" activePane="bottomRight" state="frozen"/>
      <selection activeCell="X15" sqref="X15"/>
      <selection pane="topRight" activeCell="X15" sqref="X15"/>
      <selection pane="bottomLeft" activeCell="X15" sqref="X15"/>
      <selection pane="bottomRight" activeCell="A2" sqref="A2:AK2"/>
    </sheetView>
  </sheetViews>
  <sheetFormatPr defaultRowHeight="13.5" x14ac:dyDescent="0.15"/>
  <cols>
    <col min="1" max="1" width="6.77734375" style="10" customWidth="1"/>
    <col min="2" max="2" width="17.44140625" style="10" customWidth="1"/>
    <col min="3" max="4" width="9.77734375" style="10" customWidth="1"/>
    <col min="5" max="5" width="8.109375" style="10" customWidth="1"/>
    <col min="6" max="6" width="7.77734375" style="10" customWidth="1"/>
    <col min="7" max="7" width="9.33203125" style="10" bestFit="1" customWidth="1"/>
    <col min="8" max="28" width="8.109375" style="10" customWidth="1"/>
    <col min="29" max="29" width="9.77734375" style="10" customWidth="1"/>
    <col min="30" max="37" width="8.109375" style="11" customWidth="1"/>
    <col min="38" max="38" width="10.88671875" style="10" customWidth="1"/>
    <col min="39" max="16384" width="8.88671875" style="10"/>
  </cols>
  <sheetData>
    <row r="1" spans="1:37" ht="12" customHeight="1" x14ac:dyDescent="0.15"/>
    <row r="2" spans="1:37" ht="44.25" customHeight="1" x14ac:dyDescent="0.45">
      <c r="A2" s="97" t="s">
        <v>0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</row>
    <row r="3" spans="1:37" ht="41.25" customHeight="1" thickBot="1" x14ac:dyDescent="0.2">
      <c r="A3" s="1"/>
      <c r="B3" s="3" t="s">
        <v>11</v>
      </c>
      <c r="C3" s="29" t="s">
        <v>90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ht="37.5" customHeight="1" x14ac:dyDescent="0.15">
      <c r="A4" s="98" t="s">
        <v>1</v>
      </c>
      <c r="B4" s="99"/>
      <c r="C4" s="102" t="s">
        <v>2</v>
      </c>
      <c r="D4" s="87" t="s">
        <v>70</v>
      </c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9"/>
    </row>
    <row r="5" spans="1:37" ht="32.25" customHeight="1" x14ac:dyDescent="0.15">
      <c r="A5" s="100"/>
      <c r="B5" s="101"/>
      <c r="C5" s="103"/>
      <c r="D5" s="104" t="s">
        <v>3</v>
      </c>
      <c r="E5" s="85" t="s">
        <v>4</v>
      </c>
      <c r="F5" s="45" t="s">
        <v>5</v>
      </c>
      <c r="G5" s="16" t="s">
        <v>66</v>
      </c>
      <c r="H5" s="46" t="s">
        <v>53</v>
      </c>
      <c r="I5" s="90" t="s">
        <v>55</v>
      </c>
      <c r="J5" s="91"/>
      <c r="K5" s="95"/>
      <c r="L5" s="90" t="s">
        <v>56</v>
      </c>
      <c r="M5" s="91"/>
      <c r="N5" s="91"/>
      <c r="O5" s="91"/>
      <c r="P5" s="91"/>
      <c r="Q5" s="91"/>
      <c r="R5" s="91"/>
      <c r="S5" s="95"/>
      <c r="T5" s="90" t="s">
        <v>57</v>
      </c>
      <c r="U5" s="91"/>
      <c r="V5" s="95"/>
      <c r="W5" s="90" t="s">
        <v>6</v>
      </c>
      <c r="X5" s="91"/>
      <c r="Y5" s="91"/>
      <c r="Z5" s="91"/>
      <c r="AA5" s="91"/>
      <c r="AB5" s="96"/>
      <c r="AC5" s="93" t="s">
        <v>3</v>
      </c>
      <c r="AD5" s="90" t="s">
        <v>23</v>
      </c>
      <c r="AE5" s="91"/>
      <c r="AF5" s="91"/>
      <c r="AG5" s="91"/>
      <c r="AH5" s="91"/>
      <c r="AI5" s="91"/>
      <c r="AJ5" s="91"/>
      <c r="AK5" s="92"/>
    </row>
    <row r="6" spans="1:37" ht="252.75" customHeight="1" thickBot="1" x14ac:dyDescent="0.2">
      <c r="A6" s="100"/>
      <c r="B6" s="101"/>
      <c r="C6" s="103"/>
      <c r="D6" s="105"/>
      <c r="E6" s="86"/>
      <c r="F6" s="27" t="s">
        <v>78</v>
      </c>
      <c r="G6" s="27" t="s">
        <v>79</v>
      </c>
      <c r="H6" s="26" t="s">
        <v>73</v>
      </c>
      <c r="I6" s="24" t="s">
        <v>74</v>
      </c>
      <c r="J6" s="25" t="s">
        <v>75</v>
      </c>
      <c r="K6" s="70" t="s">
        <v>84</v>
      </c>
      <c r="L6" s="24" t="s">
        <v>34</v>
      </c>
      <c r="M6" s="47" t="s">
        <v>35</v>
      </c>
      <c r="N6" s="47" t="s">
        <v>24</v>
      </c>
      <c r="O6" s="13" t="s">
        <v>65</v>
      </c>
      <c r="P6" s="13" t="s">
        <v>72</v>
      </c>
      <c r="Q6" s="18" t="s">
        <v>67</v>
      </c>
      <c r="R6" s="18" t="s">
        <v>68</v>
      </c>
      <c r="S6" s="70" t="s">
        <v>85</v>
      </c>
      <c r="T6" s="24" t="s">
        <v>7</v>
      </c>
      <c r="U6" s="47" t="s">
        <v>25</v>
      </c>
      <c r="V6" s="47" t="s">
        <v>28</v>
      </c>
      <c r="W6" s="51" t="s">
        <v>69</v>
      </c>
      <c r="X6" s="51" t="s">
        <v>16</v>
      </c>
      <c r="Y6" s="51" t="s">
        <v>21</v>
      </c>
      <c r="Z6" s="51" t="s">
        <v>26</v>
      </c>
      <c r="AA6" s="52" t="s">
        <v>27</v>
      </c>
      <c r="AB6" s="70" t="s">
        <v>86</v>
      </c>
      <c r="AC6" s="94"/>
      <c r="AD6" s="47" t="s">
        <v>12</v>
      </c>
      <c r="AE6" s="47" t="s">
        <v>15</v>
      </c>
      <c r="AF6" s="47" t="s">
        <v>13</v>
      </c>
      <c r="AG6" s="47" t="s">
        <v>14</v>
      </c>
      <c r="AH6" s="47" t="s">
        <v>17</v>
      </c>
      <c r="AI6" s="47" t="s">
        <v>18</v>
      </c>
      <c r="AJ6" s="47" t="s">
        <v>19</v>
      </c>
      <c r="AK6" s="21" t="s">
        <v>45</v>
      </c>
    </row>
    <row r="7" spans="1:37" s="5" customFormat="1" ht="62.25" customHeight="1" thickTop="1" x14ac:dyDescent="0.15">
      <c r="A7" s="77" t="s">
        <v>52</v>
      </c>
      <c r="B7" s="78"/>
      <c r="C7" s="22">
        <f>IF(SUM(C8,C12)&gt;0,SUM(C8,C12)," ")</f>
        <v>164</v>
      </c>
      <c r="D7" s="23">
        <f>IF(SUM(D8,D12)&gt;0,SUM(D8,D12)," ")</f>
        <v>162</v>
      </c>
      <c r="E7" s="31">
        <f t="shared" ref="E7:AK7" si="0">IF(SUM(E8,E12)&gt;0,SUM(E8,E12)," ")</f>
        <v>1</v>
      </c>
      <c r="F7" s="31">
        <f t="shared" si="0"/>
        <v>1</v>
      </c>
      <c r="G7" s="31">
        <f t="shared" si="0"/>
        <v>1</v>
      </c>
      <c r="H7" s="31">
        <f t="shared" si="0"/>
        <v>5</v>
      </c>
      <c r="I7" s="31">
        <f t="shared" si="0"/>
        <v>34</v>
      </c>
      <c r="J7" s="31">
        <f t="shared" si="0"/>
        <v>2</v>
      </c>
      <c r="K7" s="31">
        <f t="shared" si="0"/>
        <v>6</v>
      </c>
      <c r="L7" s="31">
        <f t="shared" si="0"/>
        <v>25</v>
      </c>
      <c r="M7" s="31" t="str">
        <f t="shared" si="0"/>
        <v xml:space="preserve"> </v>
      </c>
      <c r="N7" s="31" t="str">
        <f t="shared" si="0"/>
        <v xml:space="preserve"> </v>
      </c>
      <c r="O7" s="31">
        <f t="shared" si="0"/>
        <v>2</v>
      </c>
      <c r="P7" s="31">
        <f t="shared" si="0"/>
        <v>1</v>
      </c>
      <c r="Q7" s="31">
        <f>Q8+Q12</f>
        <v>1</v>
      </c>
      <c r="R7" s="31">
        <f>R8+R12</f>
        <v>1</v>
      </c>
      <c r="S7" s="48">
        <f>S8+S12</f>
        <v>6</v>
      </c>
      <c r="T7" s="31">
        <f t="shared" si="0"/>
        <v>37</v>
      </c>
      <c r="U7" s="31">
        <f t="shared" si="0"/>
        <v>2</v>
      </c>
      <c r="V7" s="31" t="str">
        <f t="shared" si="0"/>
        <v xml:space="preserve"> </v>
      </c>
      <c r="W7" s="31">
        <f t="shared" si="0"/>
        <v>27</v>
      </c>
      <c r="X7" s="31">
        <f t="shared" si="0"/>
        <v>3</v>
      </c>
      <c r="Y7" s="31" t="str">
        <f t="shared" si="0"/>
        <v xml:space="preserve"> </v>
      </c>
      <c r="Z7" s="31" t="str">
        <f t="shared" si="0"/>
        <v xml:space="preserve"> </v>
      </c>
      <c r="AA7" s="53">
        <f t="shared" si="0"/>
        <v>1</v>
      </c>
      <c r="AB7" s="58">
        <f t="shared" si="0"/>
        <v>6</v>
      </c>
      <c r="AC7" s="33">
        <f>IF(SUM(AC8,AC12)&gt;0,SUM(AC8,AC12)," ")</f>
        <v>2</v>
      </c>
      <c r="AD7" s="34"/>
      <c r="AE7" s="31" t="str">
        <f>IF(SUM(AE8,AE12)&gt;0,SUM(AE8,AE12)," ")</f>
        <v xml:space="preserve"> </v>
      </c>
      <c r="AF7" s="31">
        <v>1</v>
      </c>
      <c r="AG7" s="31" t="str">
        <f t="shared" si="0"/>
        <v xml:space="preserve"> </v>
      </c>
      <c r="AH7" s="31">
        <f t="shared" si="0"/>
        <v>1</v>
      </c>
      <c r="AI7" s="31" t="str">
        <f t="shared" si="0"/>
        <v xml:space="preserve"> </v>
      </c>
      <c r="AJ7" s="31" t="str">
        <f t="shared" si="0"/>
        <v xml:space="preserve"> </v>
      </c>
      <c r="AK7" s="35" t="str">
        <f t="shared" si="0"/>
        <v xml:space="preserve"> </v>
      </c>
    </row>
    <row r="8" spans="1:37" s="5" customFormat="1" ht="62.25" customHeight="1" x14ac:dyDescent="0.15">
      <c r="A8" s="82" t="s">
        <v>36</v>
      </c>
      <c r="B8" s="9" t="s">
        <v>37</v>
      </c>
      <c r="C8" s="19">
        <f>SUM(D8+AC8)</f>
        <v>45</v>
      </c>
      <c r="D8" s="20">
        <f>SUM(D9,D10,D11)</f>
        <v>44</v>
      </c>
      <c r="E8" s="39">
        <f>SUM(E9,E10,E11)</f>
        <v>1</v>
      </c>
      <c r="F8" s="39">
        <f t="shared" ref="F8:AB8" si="1">SUM(F9,F10,F11)</f>
        <v>0</v>
      </c>
      <c r="G8" s="39">
        <f t="shared" si="1"/>
        <v>1</v>
      </c>
      <c r="H8" s="39">
        <f t="shared" si="1"/>
        <v>1</v>
      </c>
      <c r="I8" s="39">
        <f t="shared" si="1"/>
        <v>9</v>
      </c>
      <c r="J8" s="39">
        <f t="shared" si="1"/>
        <v>1</v>
      </c>
      <c r="K8" s="39">
        <f t="shared" si="1"/>
        <v>1</v>
      </c>
      <c r="L8" s="39">
        <f t="shared" si="1"/>
        <v>10</v>
      </c>
      <c r="M8" s="39">
        <f t="shared" si="1"/>
        <v>0</v>
      </c>
      <c r="N8" s="44">
        <v>0</v>
      </c>
      <c r="O8" s="39">
        <f t="shared" si="1"/>
        <v>0</v>
      </c>
      <c r="P8" s="39">
        <f t="shared" si="1"/>
        <v>1</v>
      </c>
      <c r="Q8" s="39">
        <f>SUM(Q9:Q11)</f>
        <v>1</v>
      </c>
      <c r="R8" s="39">
        <f>SUM(R9:R11)</f>
        <v>1</v>
      </c>
      <c r="S8" s="39">
        <f>SUM(S9:S11)</f>
        <v>1</v>
      </c>
      <c r="T8" s="39">
        <f t="shared" si="1"/>
        <v>8</v>
      </c>
      <c r="U8" s="39">
        <f t="shared" si="1"/>
        <v>0</v>
      </c>
      <c r="V8" s="39">
        <f t="shared" si="1"/>
        <v>0</v>
      </c>
      <c r="W8" s="39">
        <f t="shared" si="1"/>
        <v>5</v>
      </c>
      <c r="X8" s="39">
        <f t="shared" si="1"/>
        <v>1</v>
      </c>
      <c r="Y8" s="39">
        <f t="shared" si="1"/>
        <v>0</v>
      </c>
      <c r="Z8" s="39">
        <f t="shared" si="1"/>
        <v>0</v>
      </c>
      <c r="AA8" s="54">
        <f t="shared" si="1"/>
        <v>1</v>
      </c>
      <c r="AB8" s="54">
        <f t="shared" si="1"/>
        <v>1</v>
      </c>
      <c r="AC8" s="38">
        <f>SUM(AC9,AC10,AC11)</f>
        <v>1</v>
      </c>
      <c r="AD8" s="39">
        <f>SUM(AD9,AD10,AD11)</f>
        <v>0</v>
      </c>
      <c r="AE8" s="39">
        <f t="shared" ref="AE8:AK8" si="2">SUM(AE9,AE10,AE11)</f>
        <v>0</v>
      </c>
      <c r="AF8" s="39">
        <f t="shared" si="2"/>
        <v>0</v>
      </c>
      <c r="AG8" s="39">
        <f t="shared" si="2"/>
        <v>0</v>
      </c>
      <c r="AH8" s="39">
        <f t="shared" si="2"/>
        <v>1</v>
      </c>
      <c r="AI8" s="39">
        <f t="shared" si="2"/>
        <v>0</v>
      </c>
      <c r="AJ8" s="39">
        <f t="shared" si="2"/>
        <v>0</v>
      </c>
      <c r="AK8" s="40">
        <f t="shared" si="2"/>
        <v>0</v>
      </c>
    </row>
    <row r="9" spans="1:37" ht="62.25" customHeight="1" x14ac:dyDescent="0.15">
      <c r="A9" s="83"/>
      <c r="B9" s="8" t="s">
        <v>83</v>
      </c>
      <c r="C9" s="14">
        <f>SUM(D9+AC9)</f>
        <v>14</v>
      </c>
      <c r="D9" s="15">
        <f>SUM(E9:AB9)</f>
        <v>13</v>
      </c>
      <c r="E9" s="28">
        <v>1</v>
      </c>
      <c r="F9" s="28"/>
      <c r="G9" s="30"/>
      <c r="H9" s="30"/>
      <c r="I9" s="30">
        <v>3</v>
      </c>
      <c r="J9" s="30"/>
      <c r="K9" s="30"/>
      <c r="L9" s="30">
        <v>3</v>
      </c>
      <c r="M9" s="30"/>
      <c r="N9" s="30"/>
      <c r="O9" s="30"/>
      <c r="P9" s="30"/>
      <c r="Q9" s="30">
        <v>1</v>
      </c>
      <c r="R9" s="30">
        <v>1</v>
      </c>
      <c r="S9" s="30"/>
      <c r="T9" s="30">
        <v>2</v>
      </c>
      <c r="U9" s="30"/>
      <c r="V9" s="30"/>
      <c r="W9" s="28">
        <v>1</v>
      </c>
      <c r="X9" s="28">
        <v>1</v>
      </c>
      <c r="Y9" s="28"/>
      <c r="Z9" s="28"/>
      <c r="AA9" s="28"/>
      <c r="AB9" s="71"/>
      <c r="AC9" s="41">
        <f>SUM(AD9:AK9)</f>
        <v>1</v>
      </c>
      <c r="AD9" s="28"/>
      <c r="AE9" s="28"/>
      <c r="AF9" s="28"/>
      <c r="AG9" s="28"/>
      <c r="AH9" s="28">
        <v>1</v>
      </c>
      <c r="AI9" s="28"/>
      <c r="AJ9" s="28"/>
      <c r="AK9" s="42"/>
    </row>
    <row r="10" spans="1:37" ht="62.25" customHeight="1" x14ac:dyDescent="0.15">
      <c r="A10" s="84"/>
      <c r="B10" s="43" t="s">
        <v>81</v>
      </c>
      <c r="C10" s="14">
        <f>SUM(D10+AC10)</f>
        <v>16</v>
      </c>
      <c r="D10" s="15">
        <f t="shared" ref="D10:D11" si="3">SUM(E10:AB10)</f>
        <v>16</v>
      </c>
      <c r="E10" s="28"/>
      <c r="F10" s="28"/>
      <c r="G10" s="30"/>
      <c r="H10" s="28">
        <v>1</v>
      </c>
      <c r="I10" s="28">
        <v>3</v>
      </c>
      <c r="J10" s="28">
        <v>1</v>
      </c>
      <c r="K10" s="28">
        <v>1</v>
      </c>
      <c r="L10" s="28">
        <v>2</v>
      </c>
      <c r="M10" s="28"/>
      <c r="N10" s="28"/>
      <c r="O10" s="28"/>
      <c r="P10" s="28">
        <v>1</v>
      </c>
      <c r="Q10" s="28"/>
      <c r="R10" s="28"/>
      <c r="S10" s="50">
        <v>1</v>
      </c>
      <c r="T10" s="28">
        <v>3</v>
      </c>
      <c r="U10" s="28"/>
      <c r="V10" s="28"/>
      <c r="W10" s="28">
        <v>1</v>
      </c>
      <c r="X10" s="28"/>
      <c r="Y10" s="28"/>
      <c r="Z10" s="28"/>
      <c r="AA10" s="55">
        <v>1</v>
      </c>
      <c r="AB10" s="56">
        <v>1</v>
      </c>
      <c r="AC10" s="41">
        <f>SUM(AD10:AK10)</f>
        <v>0</v>
      </c>
      <c r="AD10" s="28"/>
      <c r="AE10" s="28"/>
      <c r="AF10" s="28"/>
      <c r="AG10" s="28"/>
      <c r="AH10" s="28"/>
      <c r="AI10" s="28"/>
      <c r="AJ10" s="28"/>
      <c r="AK10" s="42"/>
    </row>
    <row r="11" spans="1:37" ht="62.25" customHeight="1" x14ac:dyDescent="0.15">
      <c r="A11" s="84"/>
      <c r="B11" s="8" t="s">
        <v>38</v>
      </c>
      <c r="C11" s="14">
        <f>SUM(D11+AC11)</f>
        <v>15</v>
      </c>
      <c r="D11" s="15">
        <f t="shared" si="3"/>
        <v>15</v>
      </c>
      <c r="E11" s="30"/>
      <c r="F11" s="30"/>
      <c r="G11" s="30">
        <v>1</v>
      </c>
      <c r="H11" s="28"/>
      <c r="I11" s="28">
        <v>3</v>
      </c>
      <c r="J11" s="28"/>
      <c r="K11" s="28"/>
      <c r="L11" s="28">
        <v>5</v>
      </c>
      <c r="M11" s="28"/>
      <c r="N11" s="28"/>
      <c r="O11" s="28"/>
      <c r="P11" s="28"/>
      <c r="Q11" s="28"/>
      <c r="R11" s="28"/>
      <c r="S11" s="28"/>
      <c r="T11" s="28">
        <v>3</v>
      </c>
      <c r="U11" s="28"/>
      <c r="V11" s="28"/>
      <c r="W11" s="28">
        <v>3</v>
      </c>
      <c r="X11" s="28"/>
      <c r="Y11" s="28"/>
      <c r="Z11" s="30"/>
      <c r="AA11" s="30"/>
      <c r="AB11" s="72"/>
      <c r="AC11" s="41">
        <f>SUM(AD11:AK11)</f>
        <v>0</v>
      </c>
      <c r="AD11" s="28"/>
      <c r="AE11" s="28"/>
      <c r="AF11" s="28"/>
      <c r="AG11" s="28"/>
      <c r="AH11" s="28"/>
      <c r="AI11" s="28"/>
      <c r="AJ11" s="28"/>
      <c r="AK11" s="42"/>
    </row>
    <row r="12" spans="1:37" s="5" customFormat="1" ht="62.25" customHeight="1" x14ac:dyDescent="0.15">
      <c r="A12" s="79" t="s">
        <v>39</v>
      </c>
      <c r="B12" s="9" t="s">
        <v>37</v>
      </c>
      <c r="C12" s="19">
        <f>SUM(C13:C17)</f>
        <v>119</v>
      </c>
      <c r="D12" s="20">
        <f t="shared" ref="D12:K12" si="4">IF(SUM(D13:D17)&gt;0,SUM(D13:D17)," ")</f>
        <v>118</v>
      </c>
      <c r="E12" s="36" t="str">
        <f t="shared" si="4"/>
        <v xml:space="preserve"> </v>
      </c>
      <c r="F12" s="36">
        <f t="shared" si="4"/>
        <v>1</v>
      </c>
      <c r="G12" s="36" t="str">
        <f t="shared" si="4"/>
        <v xml:space="preserve"> </v>
      </c>
      <c r="H12" s="39">
        <f t="shared" si="4"/>
        <v>4</v>
      </c>
      <c r="I12" s="39">
        <f t="shared" si="4"/>
        <v>25</v>
      </c>
      <c r="J12" s="39">
        <f t="shared" si="4"/>
        <v>1</v>
      </c>
      <c r="K12" s="39">
        <f t="shared" si="4"/>
        <v>5</v>
      </c>
      <c r="L12" s="39">
        <f t="shared" ref="L12:AK12" si="5">IF(SUM(L13:L17)&gt;0,SUM(L13:L17)," ")</f>
        <v>15</v>
      </c>
      <c r="M12" s="39" t="str">
        <f t="shared" si="5"/>
        <v xml:space="preserve"> </v>
      </c>
      <c r="N12" s="39" t="str">
        <f t="shared" si="5"/>
        <v xml:space="preserve"> </v>
      </c>
      <c r="O12" s="39">
        <f t="shared" si="5"/>
        <v>2</v>
      </c>
      <c r="P12" s="39" t="str">
        <f t="shared" si="5"/>
        <v xml:space="preserve"> </v>
      </c>
      <c r="Q12" s="39"/>
      <c r="R12" s="39"/>
      <c r="S12" s="39">
        <f t="shared" si="5"/>
        <v>5</v>
      </c>
      <c r="T12" s="39">
        <f t="shared" si="5"/>
        <v>29</v>
      </c>
      <c r="U12" s="39">
        <f t="shared" si="5"/>
        <v>2</v>
      </c>
      <c r="V12" s="39"/>
      <c r="W12" s="39">
        <f t="shared" si="5"/>
        <v>22</v>
      </c>
      <c r="X12" s="39">
        <f t="shared" ref="X12:AC12" si="6">IF(SUM(X13:X17)&gt;0,SUM(X13:X17)," ")</f>
        <v>2</v>
      </c>
      <c r="Y12" s="39" t="str">
        <f t="shared" si="6"/>
        <v xml:space="preserve"> </v>
      </c>
      <c r="Z12" s="36" t="str">
        <f t="shared" si="6"/>
        <v xml:space="preserve"> </v>
      </c>
      <c r="AA12" s="36" t="str">
        <f t="shared" si="6"/>
        <v xml:space="preserve"> </v>
      </c>
      <c r="AB12" s="36">
        <f t="shared" si="6"/>
        <v>5</v>
      </c>
      <c r="AC12" s="38">
        <f t="shared" si="6"/>
        <v>1</v>
      </c>
      <c r="AD12" s="39"/>
      <c r="AE12" s="39" t="str">
        <f>IF(SUM(AE13:AE17)&gt;0,SUM(AE13:AE17)," ")</f>
        <v xml:space="preserve"> </v>
      </c>
      <c r="AF12" s="39">
        <f t="shared" si="5"/>
        <v>1</v>
      </c>
      <c r="AG12" s="39" t="str">
        <f t="shared" si="5"/>
        <v xml:space="preserve"> </v>
      </c>
      <c r="AH12" s="39" t="str">
        <f t="shared" si="5"/>
        <v xml:space="preserve"> </v>
      </c>
      <c r="AI12" s="39" t="str">
        <f t="shared" si="5"/>
        <v xml:space="preserve"> </v>
      </c>
      <c r="AJ12" s="44" t="str">
        <f t="shared" si="5"/>
        <v xml:space="preserve"> </v>
      </c>
      <c r="AK12" s="59" t="str">
        <f t="shared" si="5"/>
        <v xml:space="preserve"> </v>
      </c>
    </row>
    <row r="13" spans="1:37" ht="62.25" customHeight="1" x14ac:dyDescent="0.15">
      <c r="A13" s="80"/>
      <c r="B13" s="8" t="s">
        <v>40</v>
      </c>
      <c r="C13" s="14">
        <f>SUM(D13+AC13)</f>
        <v>26</v>
      </c>
      <c r="D13" s="15">
        <f>SUM(E13:AB13)</f>
        <v>26</v>
      </c>
      <c r="E13" s="30"/>
      <c r="F13" s="30">
        <v>1</v>
      </c>
      <c r="G13" s="30"/>
      <c r="H13" s="28"/>
      <c r="I13" s="28">
        <v>6</v>
      </c>
      <c r="J13" s="28"/>
      <c r="K13" s="28">
        <v>1</v>
      </c>
      <c r="L13" s="28">
        <v>3</v>
      </c>
      <c r="M13" s="28"/>
      <c r="N13" s="60"/>
      <c r="O13" s="28">
        <v>1</v>
      </c>
      <c r="P13" s="28"/>
      <c r="Q13" s="28"/>
      <c r="R13" s="28"/>
      <c r="S13" s="28">
        <v>1</v>
      </c>
      <c r="T13" s="28">
        <v>8</v>
      </c>
      <c r="U13" s="28"/>
      <c r="V13" s="28"/>
      <c r="W13" s="28">
        <v>4</v>
      </c>
      <c r="X13" s="28">
        <v>0</v>
      </c>
      <c r="Y13" s="28"/>
      <c r="Z13" s="30"/>
      <c r="AA13" s="30"/>
      <c r="AB13" s="72">
        <v>1</v>
      </c>
      <c r="AC13" s="41">
        <f>SUM(AD13:AK13)</f>
        <v>0</v>
      </c>
      <c r="AD13" s="28"/>
      <c r="AE13" s="28"/>
      <c r="AF13" s="28"/>
      <c r="AG13" s="28">
        <v>0</v>
      </c>
      <c r="AH13" s="28"/>
      <c r="AI13" s="28"/>
      <c r="AJ13" s="28"/>
      <c r="AK13" s="42"/>
    </row>
    <row r="14" spans="1:37" ht="62.25" customHeight="1" x14ac:dyDescent="0.15">
      <c r="A14" s="80"/>
      <c r="B14" s="8" t="s">
        <v>41</v>
      </c>
      <c r="C14" s="14">
        <f>SUM(D14+AC14)</f>
        <v>25</v>
      </c>
      <c r="D14" s="15">
        <f t="shared" ref="D14:D17" si="7">SUM(E14:AB14)</f>
        <v>25</v>
      </c>
      <c r="E14" s="30"/>
      <c r="F14" s="30"/>
      <c r="G14" s="30"/>
      <c r="H14" s="28">
        <v>1</v>
      </c>
      <c r="I14" s="28">
        <v>5</v>
      </c>
      <c r="J14" s="28"/>
      <c r="K14" s="28">
        <v>1</v>
      </c>
      <c r="L14" s="28">
        <v>2</v>
      </c>
      <c r="M14" s="28"/>
      <c r="N14" s="28"/>
      <c r="O14" s="28">
        <v>1</v>
      </c>
      <c r="P14" s="28"/>
      <c r="Q14" s="28"/>
      <c r="R14" s="28"/>
      <c r="S14" s="28">
        <v>1</v>
      </c>
      <c r="T14" s="28">
        <v>7</v>
      </c>
      <c r="U14" s="28">
        <v>1</v>
      </c>
      <c r="V14" s="28"/>
      <c r="W14" s="28">
        <v>5</v>
      </c>
      <c r="X14" s="28">
        <v>0</v>
      </c>
      <c r="Y14" s="28"/>
      <c r="Z14" s="30"/>
      <c r="AA14" s="30"/>
      <c r="AB14" s="72">
        <v>1</v>
      </c>
      <c r="AC14" s="41">
        <f>SUM(AD14:AK14)</f>
        <v>0</v>
      </c>
      <c r="AD14" s="28"/>
      <c r="AE14" s="28"/>
      <c r="AF14" s="28"/>
      <c r="AG14" s="60"/>
      <c r="AH14" s="28"/>
      <c r="AI14" s="28"/>
      <c r="AJ14" s="28"/>
      <c r="AK14" s="42"/>
    </row>
    <row r="15" spans="1:37" ht="62.25" customHeight="1" x14ac:dyDescent="0.15">
      <c r="A15" s="80"/>
      <c r="B15" s="8" t="s">
        <v>42</v>
      </c>
      <c r="C15" s="14">
        <f>SUM(D15+AC15)</f>
        <v>21</v>
      </c>
      <c r="D15" s="15">
        <f t="shared" si="7"/>
        <v>21</v>
      </c>
      <c r="E15" s="30"/>
      <c r="F15" s="30"/>
      <c r="G15" s="30"/>
      <c r="H15" s="28">
        <v>1</v>
      </c>
      <c r="I15" s="28">
        <v>4</v>
      </c>
      <c r="J15" s="28">
        <v>1</v>
      </c>
      <c r="K15" s="28">
        <v>1</v>
      </c>
      <c r="L15" s="28">
        <v>3</v>
      </c>
      <c r="M15" s="28"/>
      <c r="N15" s="28"/>
      <c r="O15" s="28"/>
      <c r="P15" s="28"/>
      <c r="Q15" s="28"/>
      <c r="R15" s="28"/>
      <c r="S15" s="28">
        <v>1</v>
      </c>
      <c r="T15" s="28">
        <v>4</v>
      </c>
      <c r="U15" s="28"/>
      <c r="V15" s="28"/>
      <c r="W15" s="28">
        <v>5</v>
      </c>
      <c r="X15" s="28"/>
      <c r="Y15" s="28"/>
      <c r="Z15" s="30"/>
      <c r="AA15" s="61"/>
      <c r="AB15" s="72">
        <v>1</v>
      </c>
      <c r="AC15" s="41">
        <f>SUM(AD15:AK15)</f>
        <v>0</v>
      </c>
      <c r="AD15" s="28"/>
      <c r="AE15" s="28"/>
      <c r="AF15" s="28"/>
      <c r="AG15" s="28"/>
      <c r="AH15" s="28"/>
      <c r="AI15" s="28"/>
      <c r="AJ15" s="28"/>
      <c r="AK15" s="42"/>
    </row>
    <row r="16" spans="1:37" ht="62.25" customHeight="1" x14ac:dyDescent="0.15">
      <c r="A16" s="80"/>
      <c r="B16" s="8" t="s">
        <v>43</v>
      </c>
      <c r="C16" s="14">
        <f>SUM(D16+AC16)</f>
        <v>23</v>
      </c>
      <c r="D16" s="15">
        <f t="shared" si="7"/>
        <v>23</v>
      </c>
      <c r="E16" s="30"/>
      <c r="F16" s="30"/>
      <c r="G16" s="30"/>
      <c r="H16" s="30">
        <v>1</v>
      </c>
      <c r="I16" s="28">
        <v>4</v>
      </c>
      <c r="J16" s="30"/>
      <c r="K16" s="30">
        <v>1</v>
      </c>
      <c r="L16" s="30">
        <v>3</v>
      </c>
      <c r="M16" s="30"/>
      <c r="N16" s="30"/>
      <c r="O16" s="30"/>
      <c r="P16" s="30"/>
      <c r="Q16" s="30"/>
      <c r="R16" s="30"/>
      <c r="S16" s="30">
        <v>1</v>
      </c>
      <c r="T16" s="30">
        <v>6</v>
      </c>
      <c r="U16" s="30">
        <v>1</v>
      </c>
      <c r="V16" s="30"/>
      <c r="W16" s="30">
        <v>4</v>
      </c>
      <c r="X16" s="30">
        <v>1</v>
      </c>
      <c r="Y16" s="30"/>
      <c r="Z16" s="30"/>
      <c r="AA16" s="30"/>
      <c r="AB16" s="72">
        <v>1</v>
      </c>
      <c r="AC16" s="41">
        <f>SUM(AD16:AK16)</f>
        <v>0</v>
      </c>
      <c r="AD16" s="28"/>
      <c r="AE16" s="30"/>
      <c r="AF16" s="28"/>
      <c r="AG16" s="28"/>
      <c r="AH16" s="28"/>
      <c r="AI16" s="28"/>
      <c r="AJ16" s="28"/>
      <c r="AK16" s="42"/>
    </row>
    <row r="17" spans="1:37" ht="62.25" customHeight="1" thickBot="1" x14ac:dyDescent="0.2">
      <c r="A17" s="81"/>
      <c r="B17" s="62" t="s">
        <v>44</v>
      </c>
      <c r="C17" s="63">
        <f>SUM(D17+AC17)</f>
        <v>24</v>
      </c>
      <c r="D17" s="15">
        <f t="shared" si="7"/>
        <v>23</v>
      </c>
      <c r="E17" s="64"/>
      <c r="F17" s="64"/>
      <c r="G17" s="64"/>
      <c r="H17" s="64">
        <v>1</v>
      </c>
      <c r="I17" s="66">
        <v>6</v>
      </c>
      <c r="J17" s="64"/>
      <c r="K17" s="64">
        <v>1</v>
      </c>
      <c r="L17" s="64">
        <v>4</v>
      </c>
      <c r="M17" s="64"/>
      <c r="N17" s="64"/>
      <c r="O17" s="64"/>
      <c r="P17" s="64"/>
      <c r="Q17" s="64"/>
      <c r="R17" s="64"/>
      <c r="S17" s="64">
        <v>1</v>
      </c>
      <c r="T17" s="64">
        <v>4</v>
      </c>
      <c r="U17" s="64"/>
      <c r="V17" s="64"/>
      <c r="W17" s="64">
        <v>4</v>
      </c>
      <c r="X17" s="76">
        <v>1</v>
      </c>
      <c r="Y17" s="64"/>
      <c r="Z17" s="64"/>
      <c r="AA17" s="64"/>
      <c r="AB17" s="73">
        <v>1</v>
      </c>
      <c r="AC17" s="65">
        <f>SUM(AD17:AK17)</f>
        <v>1</v>
      </c>
      <c r="AD17" s="66"/>
      <c r="AE17" s="66"/>
      <c r="AF17" s="66">
        <v>1</v>
      </c>
      <c r="AG17" s="66"/>
      <c r="AH17" s="66"/>
      <c r="AI17" s="66"/>
      <c r="AJ17" s="66"/>
      <c r="AK17" s="67"/>
    </row>
    <row r="18" spans="1:37" ht="20.25" x14ac:dyDescent="0.15">
      <c r="C18" s="5"/>
      <c r="D18" s="5"/>
      <c r="E18" s="5"/>
      <c r="F18" s="5"/>
      <c r="G18" s="5"/>
      <c r="H18" s="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7"/>
      <c r="AE18" s="7"/>
      <c r="AF18" s="7"/>
      <c r="AG18" s="7"/>
      <c r="AH18" s="7"/>
      <c r="AI18" s="7"/>
      <c r="AJ18" s="7"/>
      <c r="AK18" s="7"/>
    </row>
    <row r="19" spans="1:37" ht="20.25" x14ac:dyDescent="0.15">
      <c r="C19" s="5"/>
      <c r="D19" s="5"/>
      <c r="E19" s="5"/>
      <c r="F19" s="5"/>
      <c r="G19" s="5"/>
      <c r="H19" s="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7"/>
      <c r="AE19" s="7"/>
      <c r="AF19" s="7"/>
      <c r="AG19" s="7"/>
      <c r="AH19" s="7"/>
      <c r="AI19" s="7"/>
      <c r="AJ19" s="7"/>
      <c r="AK19" s="7"/>
    </row>
    <row r="20" spans="1:37" ht="20.25" x14ac:dyDescent="0.15">
      <c r="C20" s="5"/>
      <c r="D20" s="5"/>
      <c r="E20" s="5"/>
      <c r="F20" s="5"/>
      <c r="G20" s="5"/>
      <c r="H20" s="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7"/>
      <c r="AE20" s="7"/>
      <c r="AF20" s="7"/>
      <c r="AG20" s="7"/>
      <c r="AH20" s="7"/>
      <c r="AI20" s="7"/>
      <c r="AJ20" s="7"/>
      <c r="AK20" s="7"/>
    </row>
    <row r="21" spans="1:37" ht="20.25" x14ac:dyDescent="0.15">
      <c r="C21" s="5"/>
      <c r="D21" s="5"/>
      <c r="E21" s="5"/>
      <c r="F21" s="5"/>
      <c r="G21" s="5"/>
      <c r="H21" s="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7"/>
      <c r="AE21" s="7"/>
      <c r="AF21" s="7"/>
      <c r="AG21" s="7"/>
      <c r="AH21" s="7"/>
      <c r="AI21" s="7"/>
      <c r="AJ21" s="7"/>
      <c r="AK21" s="7"/>
    </row>
    <row r="22" spans="1:37" ht="20.25" x14ac:dyDescent="0.15">
      <c r="C22" s="5"/>
      <c r="D22" s="5"/>
      <c r="E22" s="5"/>
      <c r="F22" s="5"/>
      <c r="G22" s="5"/>
      <c r="H22" s="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7"/>
      <c r="AE22" s="7"/>
      <c r="AF22" s="7"/>
      <c r="AG22" s="7"/>
      <c r="AH22" s="7"/>
      <c r="AI22" s="7"/>
      <c r="AJ22" s="7"/>
      <c r="AK22" s="7"/>
    </row>
    <row r="23" spans="1:37" ht="20.25" x14ac:dyDescent="0.15"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7"/>
      <c r="AE23" s="7"/>
      <c r="AF23" s="7"/>
      <c r="AG23" s="7"/>
      <c r="AH23" s="7"/>
      <c r="AI23" s="7"/>
      <c r="AJ23" s="7"/>
      <c r="AK23" s="7"/>
    </row>
    <row r="24" spans="1:37" ht="20.25" x14ac:dyDescent="0.15"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7"/>
      <c r="AE24" s="7"/>
      <c r="AF24" s="7"/>
      <c r="AG24" s="7"/>
      <c r="AH24" s="7"/>
      <c r="AI24" s="7"/>
      <c r="AJ24" s="7"/>
      <c r="AK24" s="7"/>
    </row>
    <row r="25" spans="1:37" ht="20.25" x14ac:dyDescent="0.15"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7"/>
      <c r="AE25" s="7"/>
      <c r="AF25" s="7"/>
      <c r="AG25" s="7"/>
      <c r="AH25" s="7"/>
      <c r="AI25" s="7"/>
      <c r="AJ25" s="7"/>
      <c r="AK25" s="7"/>
    </row>
  </sheetData>
  <mergeCells count="15">
    <mergeCell ref="A2:AK2"/>
    <mergeCell ref="A4:B6"/>
    <mergeCell ref="C4:C6"/>
    <mergeCell ref="D5:D6"/>
    <mergeCell ref="T5:V5"/>
    <mergeCell ref="A7:B7"/>
    <mergeCell ref="A12:A17"/>
    <mergeCell ref="A8:A11"/>
    <mergeCell ref="E5:E6"/>
    <mergeCell ref="D4:AK4"/>
    <mergeCell ref="AD5:AK5"/>
    <mergeCell ref="AC5:AC6"/>
    <mergeCell ref="I5:K5"/>
    <mergeCell ref="L5:S5"/>
    <mergeCell ref="W5:AB5"/>
  </mergeCells>
  <phoneticPr fontId="4" type="noConversion"/>
  <pageMargins left="0.35433070866141736" right="0.23622047244094491" top="0.62992125984251968" bottom="0.55118110236220474" header="0.51181102362204722" footer="0.51181102362204722"/>
  <pageSetup paperSize="9" scale="39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L17"/>
  <sheetViews>
    <sheetView view="pageBreakPreview" zoomScale="55" zoomScaleSheetLayoutView="55" workbookViewId="0">
      <pane xSplit="1" ySplit="7" topLeftCell="B8" activePane="bottomRight" state="frozen"/>
      <selection activeCell="X15" sqref="X15"/>
      <selection pane="topRight" activeCell="X15" sqref="X15"/>
      <selection pane="bottomLeft" activeCell="X15" sqref="X15"/>
      <selection pane="bottomRight" activeCell="AA13" sqref="AA13"/>
    </sheetView>
  </sheetViews>
  <sheetFormatPr defaultRowHeight="13.5" x14ac:dyDescent="0.15"/>
  <cols>
    <col min="1" max="1" width="8.88671875" style="10"/>
    <col min="2" max="2" width="17.109375" style="10" customWidth="1"/>
    <col min="3" max="4" width="8.77734375" style="10" customWidth="1"/>
    <col min="5" max="29" width="8.109375" style="10" customWidth="1"/>
    <col min="30" max="30" width="8.77734375" style="11" customWidth="1"/>
    <col min="31" max="38" width="8.109375" style="10" customWidth="1"/>
    <col min="39" max="16384" width="8.88671875" style="10"/>
  </cols>
  <sheetData>
    <row r="2" spans="1:38" ht="38.25" x14ac:dyDescent="0.45">
      <c r="A2" s="1"/>
      <c r="B2" s="97" t="s">
        <v>9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</row>
    <row r="3" spans="1:38" ht="30" customHeight="1" thickBot="1" x14ac:dyDescent="0.2">
      <c r="A3" s="1"/>
      <c r="B3" s="3" t="s">
        <v>10</v>
      </c>
      <c r="C3" s="29" t="str">
        <f>'기준정원(별표1)'!C3</f>
        <v>2026.2.19 기준</v>
      </c>
      <c r="D3" s="6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ht="46.5" customHeight="1" x14ac:dyDescent="0.15">
      <c r="A4" s="98" t="s">
        <v>1</v>
      </c>
      <c r="B4" s="99"/>
      <c r="C4" s="102" t="s">
        <v>2</v>
      </c>
      <c r="D4" s="106" t="s">
        <v>70</v>
      </c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8"/>
    </row>
    <row r="5" spans="1:38" ht="30" customHeight="1" x14ac:dyDescent="0.15">
      <c r="A5" s="100"/>
      <c r="B5" s="101"/>
      <c r="C5" s="103"/>
      <c r="D5" s="104" t="s">
        <v>3</v>
      </c>
      <c r="E5" s="85" t="s">
        <v>4</v>
      </c>
      <c r="F5" s="45" t="s">
        <v>5</v>
      </c>
      <c r="G5" s="16" t="s">
        <v>64</v>
      </c>
      <c r="H5" s="46" t="s">
        <v>58</v>
      </c>
      <c r="I5" s="90" t="s">
        <v>62</v>
      </c>
      <c r="J5" s="91"/>
      <c r="K5" s="91"/>
      <c r="L5" s="95"/>
      <c r="M5" s="90" t="s">
        <v>61</v>
      </c>
      <c r="N5" s="91"/>
      <c r="O5" s="91"/>
      <c r="P5" s="91"/>
      <c r="Q5" s="91"/>
      <c r="R5" s="91"/>
      <c r="S5" s="91"/>
      <c r="T5" s="95"/>
      <c r="U5" s="90" t="s">
        <v>60</v>
      </c>
      <c r="V5" s="91"/>
      <c r="W5" s="95"/>
      <c r="X5" s="109" t="s">
        <v>6</v>
      </c>
      <c r="Y5" s="110"/>
      <c r="Z5" s="110"/>
      <c r="AA5" s="110"/>
      <c r="AB5" s="110"/>
      <c r="AC5" s="111"/>
      <c r="AD5" s="112" t="s">
        <v>3</v>
      </c>
      <c r="AE5" s="114" t="s">
        <v>22</v>
      </c>
      <c r="AF5" s="115"/>
      <c r="AG5" s="115"/>
      <c r="AH5" s="115"/>
      <c r="AI5" s="115"/>
      <c r="AJ5" s="115"/>
      <c r="AK5" s="115"/>
      <c r="AL5" s="116"/>
    </row>
    <row r="6" spans="1:38" ht="260.25" customHeight="1" thickBot="1" x14ac:dyDescent="0.2">
      <c r="A6" s="100"/>
      <c r="B6" s="101"/>
      <c r="C6" s="103"/>
      <c r="D6" s="105"/>
      <c r="E6" s="86"/>
      <c r="F6" s="27" t="s">
        <v>78</v>
      </c>
      <c r="G6" s="27" t="s">
        <v>80</v>
      </c>
      <c r="H6" s="17" t="s">
        <v>59</v>
      </c>
      <c r="I6" s="47" t="s">
        <v>54</v>
      </c>
      <c r="J6" s="25" t="s">
        <v>75</v>
      </c>
      <c r="K6" s="47" t="s">
        <v>71</v>
      </c>
      <c r="L6" s="25" t="s">
        <v>87</v>
      </c>
      <c r="M6" s="24" t="s">
        <v>34</v>
      </c>
      <c r="N6" s="47" t="s">
        <v>35</v>
      </c>
      <c r="O6" s="47" t="s">
        <v>24</v>
      </c>
      <c r="P6" s="13" t="s">
        <v>76</v>
      </c>
      <c r="Q6" s="13" t="s">
        <v>77</v>
      </c>
      <c r="R6" s="18" t="s">
        <v>67</v>
      </c>
      <c r="S6" s="18" t="s">
        <v>68</v>
      </c>
      <c r="T6" s="70" t="s">
        <v>88</v>
      </c>
      <c r="U6" s="47" t="s">
        <v>63</v>
      </c>
      <c r="V6" s="47" t="s">
        <v>25</v>
      </c>
      <c r="W6" s="47" t="s">
        <v>28</v>
      </c>
      <c r="X6" s="47" t="s">
        <v>8</v>
      </c>
      <c r="Y6" s="47" t="s">
        <v>16</v>
      </c>
      <c r="Z6" s="47" t="s">
        <v>21</v>
      </c>
      <c r="AA6" s="47" t="s">
        <v>26</v>
      </c>
      <c r="AB6" s="12" t="s">
        <v>27</v>
      </c>
      <c r="AC6" s="74" t="s">
        <v>89</v>
      </c>
      <c r="AD6" s="113"/>
      <c r="AE6" s="47" t="s">
        <v>12</v>
      </c>
      <c r="AF6" s="47" t="s">
        <v>15</v>
      </c>
      <c r="AG6" s="47" t="s">
        <v>13</v>
      </c>
      <c r="AH6" s="47" t="s">
        <v>14</v>
      </c>
      <c r="AI6" s="47" t="s">
        <v>17</v>
      </c>
      <c r="AJ6" s="47" t="s">
        <v>18</v>
      </c>
      <c r="AK6" s="47" t="s">
        <v>19</v>
      </c>
      <c r="AL6" s="21" t="s">
        <v>20</v>
      </c>
    </row>
    <row r="7" spans="1:38" ht="66.75" customHeight="1" thickTop="1" x14ac:dyDescent="0.15">
      <c r="A7" s="77" t="s">
        <v>29</v>
      </c>
      <c r="B7" s="117"/>
      <c r="C7" s="22">
        <f t="shared" ref="C7:AL7" si="0">IF(SUM(C8,C12)&gt;0,SUM(C8,C12)," ")</f>
        <v>166</v>
      </c>
      <c r="D7" s="23">
        <f t="shared" si="0"/>
        <v>164</v>
      </c>
      <c r="E7" s="31">
        <f t="shared" si="0"/>
        <v>1</v>
      </c>
      <c r="F7" s="31">
        <f t="shared" si="0"/>
        <v>1</v>
      </c>
      <c r="G7" s="31">
        <f t="shared" si="0"/>
        <v>1</v>
      </c>
      <c r="H7" s="31">
        <f t="shared" si="0"/>
        <v>6</v>
      </c>
      <c r="I7" s="31">
        <f t="shared" si="0"/>
        <v>33</v>
      </c>
      <c r="J7" s="31">
        <f t="shared" si="0"/>
        <v>2</v>
      </c>
      <c r="K7" s="31">
        <f t="shared" si="0"/>
        <v>1</v>
      </c>
      <c r="L7" s="31">
        <f t="shared" si="0"/>
        <v>6</v>
      </c>
      <c r="M7" s="31">
        <f t="shared" si="0"/>
        <v>25</v>
      </c>
      <c r="N7" s="31">
        <f t="shared" si="0"/>
        <v>1</v>
      </c>
      <c r="O7" s="31" t="str">
        <f t="shared" si="0"/>
        <v xml:space="preserve"> </v>
      </c>
      <c r="P7" s="31">
        <f t="shared" si="0"/>
        <v>2</v>
      </c>
      <c r="Q7" s="31">
        <f t="shared" si="0"/>
        <v>1</v>
      </c>
      <c r="R7" s="31">
        <f>R8+R12</f>
        <v>1</v>
      </c>
      <c r="S7" s="31">
        <f>S8+S12</f>
        <v>1</v>
      </c>
      <c r="T7" s="48">
        <f>T8+T12</f>
        <v>6</v>
      </c>
      <c r="U7" s="31">
        <f t="shared" si="0"/>
        <v>39</v>
      </c>
      <c r="V7" s="31">
        <f t="shared" si="0"/>
        <v>2</v>
      </c>
      <c r="W7" s="31" t="str">
        <f t="shared" si="0"/>
        <v xml:space="preserve"> </v>
      </c>
      <c r="X7" s="31">
        <f t="shared" si="0"/>
        <v>27</v>
      </c>
      <c r="Y7" s="31">
        <f t="shared" si="0"/>
        <v>2</v>
      </c>
      <c r="Z7" s="31" t="str">
        <f t="shared" si="0"/>
        <v xml:space="preserve"> </v>
      </c>
      <c r="AA7" s="31" t="str">
        <f t="shared" si="0"/>
        <v xml:space="preserve"> </v>
      </c>
      <c r="AB7" s="32" t="str">
        <f t="shared" si="0"/>
        <v xml:space="preserve"> </v>
      </c>
      <c r="AC7" s="69">
        <f t="shared" si="0"/>
        <v>6</v>
      </c>
      <c r="AD7" s="33">
        <f>IF(SUM(AD8,AD12)&gt;0,SUM(AD8,AD12)," ")</f>
        <v>2</v>
      </c>
      <c r="AE7" s="34"/>
      <c r="AF7" s="31" t="str">
        <f>IF(SUM(AF8,AF12)&gt;0,SUM(AF8,AF12)," ")</f>
        <v xml:space="preserve"> </v>
      </c>
      <c r="AG7" s="31">
        <v>1</v>
      </c>
      <c r="AH7" s="31" t="str">
        <f t="shared" si="0"/>
        <v xml:space="preserve"> </v>
      </c>
      <c r="AI7" s="31">
        <f t="shared" si="0"/>
        <v>1</v>
      </c>
      <c r="AJ7" s="31" t="str">
        <f t="shared" si="0"/>
        <v xml:space="preserve"> </v>
      </c>
      <c r="AK7" s="31" t="str">
        <f t="shared" si="0"/>
        <v xml:space="preserve"> </v>
      </c>
      <c r="AL7" s="35" t="str">
        <f t="shared" si="0"/>
        <v xml:space="preserve"> </v>
      </c>
    </row>
    <row r="8" spans="1:38" s="5" customFormat="1" ht="66.75" customHeight="1" x14ac:dyDescent="0.15">
      <c r="A8" s="82" t="s">
        <v>30</v>
      </c>
      <c r="B8" s="9" t="s">
        <v>31</v>
      </c>
      <c r="C8" s="19">
        <f>(D8+AD8)</f>
        <v>46</v>
      </c>
      <c r="D8" s="20">
        <f>SUM(D9,D10,D11)</f>
        <v>45</v>
      </c>
      <c r="E8" s="36">
        <f>SUM(E9,E10,E11)</f>
        <v>1</v>
      </c>
      <c r="F8" s="36">
        <f t="shared" ref="F8:Y8" si="1">SUM(F9,F10,F11)</f>
        <v>0</v>
      </c>
      <c r="G8" s="36">
        <f t="shared" si="1"/>
        <v>1</v>
      </c>
      <c r="H8" s="36">
        <f t="shared" si="1"/>
        <v>2</v>
      </c>
      <c r="I8" s="36">
        <f t="shared" si="1"/>
        <v>8</v>
      </c>
      <c r="J8" s="36">
        <f t="shared" si="1"/>
        <v>1</v>
      </c>
      <c r="K8" s="36">
        <f t="shared" si="1"/>
        <v>1</v>
      </c>
      <c r="L8" s="36">
        <f t="shared" si="1"/>
        <v>1</v>
      </c>
      <c r="M8" s="36">
        <f t="shared" si="1"/>
        <v>10</v>
      </c>
      <c r="N8" s="36">
        <f t="shared" si="1"/>
        <v>1</v>
      </c>
      <c r="O8" s="37">
        <f t="shared" si="1"/>
        <v>0</v>
      </c>
      <c r="P8" s="36">
        <f t="shared" si="1"/>
        <v>0</v>
      </c>
      <c r="Q8" s="36">
        <f t="shared" si="1"/>
        <v>1</v>
      </c>
      <c r="R8" s="36">
        <f>SUM(R9:R11)</f>
        <v>1</v>
      </c>
      <c r="S8" s="36">
        <f>SUM(S9:S11)</f>
        <v>1</v>
      </c>
      <c r="T8" s="36">
        <f>SUM(T9:T11)</f>
        <v>1</v>
      </c>
      <c r="U8" s="36">
        <f t="shared" si="1"/>
        <v>9</v>
      </c>
      <c r="V8" s="36">
        <f t="shared" si="1"/>
        <v>0</v>
      </c>
      <c r="W8" s="36">
        <f t="shared" si="1"/>
        <v>0</v>
      </c>
      <c r="X8" s="36">
        <f t="shared" si="1"/>
        <v>5</v>
      </c>
      <c r="Y8" s="36">
        <f t="shared" si="1"/>
        <v>0</v>
      </c>
      <c r="Z8" s="36">
        <f t="shared" ref="Z8:AE8" si="2">SUM(Z9,Z10,Z11)</f>
        <v>0</v>
      </c>
      <c r="AA8" s="36">
        <f t="shared" si="2"/>
        <v>0</v>
      </c>
      <c r="AB8" s="36">
        <f t="shared" si="2"/>
        <v>0</v>
      </c>
      <c r="AC8" s="75">
        <f t="shared" si="2"/>
        <v>1</v>
      </c>
      <c r="AD8" s="38">
        <f t="shared" si="2"/>
        <v>1</v>
      </c>
      <c r="AE8" s="39">
        <f t="shared" si="2"/>
        <v>0</v>
      </c>
      <c r="AF8" s="39">
        <f t="shared" ref="AF8:AL8" si="3">SUM(AF9,AF10,AF11)</f>
        <v>0</v>
      </c>
      <c r="AG8" s="39">
        <f t="shared" si="3"/>
        <v>0</v>
      </c>
      <c r="AH8" s="39">
        <f t="shared" si="3"/>
        <v>0</v>
      </c>
      <c r="AI8" s="39">
        <f t="shared" si="3"/>
        <v>1</v>
      </c>
      <c r="AJ8" s="39">
        <f t="shared" si="3"/>
        <v>0</v>
      </c>
      <c r="AK8" s="39">
        <f t="shared" si="3"/>
        <v>0</v>
      </c>
      <c r="AL8" s="40">
        <f t="shared" si="3"/>
        <v>0</v>
      </c>
    </row>
    <row r="9" spans="1:38" ht="66.75" customHeight="1" x14ac:dyDescent="0.15">
      <c r="A9" s="83"/>
      <c r="B9" s="8" t="s">
        <v>82</v>
      </c>
      <c r="C9" s="14">
        <f>(D9+AD9)</f>
        <v>14</v>
      </c>
      <c r="D9" s="15">
        <f>SUM(E9:AC9)</f>
        <v>13</v>
      </c>
      <c r="E9" s="30">
        <v>1</v>
      </c>
      <c r="F9" s="30"/>
      <c r="G9" s="30"/>
      <c r="H9" s="30">
        <v>1</v>
      </c>
      <c r="I9" s="30">
        <v>2</v>
      </c>
      <c r="J9" s="30"/>
      <c r="K9" s="30">
        <v>1</v>
      </c>
      <c r="L9" s="30"/>
      <c r="M9" s="30">
        <v>3</v>
      </c>
      <c r="N9" s="30"/>
      <c r="O9" s="30"/>
      <c r="P9" s="30"/>
      <c r="Q9" s="30"/>
      <c r="R9" s="30">
        <v>1</v>
      </c>
      <c r="S9" s="30">
        <v>1</v>
      </c>
      <c r="T9" s="30"/>
      <c r="U9" s="30">
        <v>2</v>
      </c>
      <c r="V9" s="30"/>
      <c r="W9" s="30"/>
      <c r="X9" s="30">
        <v>1</v>
      </c>
      <c r="Y9" s="30"/>
      <c r="Z9" s="30"/>
      <c r="AA9" s="30"/>
      <c r="AB9" s="30"/>
      <c r="AC9" s="72"/>
      <c r="AD9" s="41">
        <f>SUM(AE9:AL9)</f>
        <v>1</v>
      </c>
      <c r="AE9" s="28"/>
      <c r="AF9" s="28"/>
      <c r="AG9" s="28"/>
      <c r="AH9" s="28"/>
      <c r="AI9" s="28">
        <v>1</v>
      </c>
      <c r="AJ9" s="28"/>
      <c r="AK9" s="28"/>
      <c r="AL9" s="42"/>
    </row>
    <row r="10" spans="1:38" ht="66.75" customHeight="1" x14ac:dyDescent="0.15">
      <c r="A10" s="84"/>
      <c r="B10" s="43" t="s">
        <v>81</v>
      </c>
      <c r="C10" s="14">
        <f>(D10+AD10)</f>
        <v>17</v>
      </c>
      <c r="D10" s="15">
        <f t="shared" ref="D10:D11" si="4">SUM(E10:AC10)</f>
        <v>17</v>
      </c>
      <c r="E10" s="30"/>
      <c r="F10" s="30"/>
      <c r="G10" s="30"/>
      <c r="H10" s="30">
        <v>1</v>
      </c>
      <c r="I10" s="30">
        <v>3</v>
      </c>
      <c r="J10" s="30">
        <v>1</v>
      </c>
      <c r="K10" s="30"/>
      <c r="L10" s="30">
        <v>1</v>
      </c>
      <c r="M10" s="30">
        <v>2</v>
      </c>
      <c r="N10" s="30">
        <v>1</v>
      </c>
      <c r="O10" s="30"/>
      <c r="P10" s="30"/>
      <c r="Q10" s="30">
        <v>1</v>
      </c>
      <c r="R10" s="30"/>
      <c r="S10" s="30"/>
      <c r="T10" s="49">
        <v>1</v>
      </c>
      <c r="U10" s="30">
        <v>4</v>
      </c>
      <c r="V10" s="30"/>
      <c r="W10" s="30"/>
      <c r="X10" s="30">
        <v>1</v>
      </c>
      <c r="Y10" s="30"/>
      <c r="Z10" s="30"/>
      <c r="AA10" s="30"/>
      <c r="AB10" s="30"/>
      <c r="AC10" s="57">
        <v>1</v>
      </c>
      <c r="AD10" s="41">
        <f>SUM(AE10:AL10)</f>
        <v>0</v>
      </c>
      <c r="AE10" s="28"/>
      <c r="AF10" s="28"/>
      <c r="AG10" s="28"/>
      <c r="AH10" s="28"/>
      <c r="AI10" s="28"/>
      <c r="AJ10" s="28"/>
      <c r="AK10" s="28"/>
      <c r="AL10" s="42"/>
    </row>
    <row r="11" spans="1:38" ht="66.75" customHeight="1" x14ac:dyDescent="0.15">
      <c r="A11" s="84"/>
      <c r="B11" s="8" t="s">
        <v>32</v>
      </c>
      <c r="C11" s="14">
        <f>(D11+AD11)</f>
        <v>15</v>
      </c>
      <c r="D11" s="15">
        <f t="shared" si="4"/>
        <v>15</v>
      </c>
      <c r="E11" s="30"/>
      <c r="F11" s="30"/>
      <c r="G11" s="30">
        <v>1</v>
      </c>
      <c r="H11" s="30"/>
      <c r="I11" s="28">
        <v>3</v>
      </c>
      <c r="J11" s="30"/>
      <c r="K11" s="30"/>
      <c r="L11" s="30"/>
      <c r="M11" s="30">
        <v>5</v>
      </c>
      <c r="N11" s="30"/>
      <c r="O11" s="30"/>
      <c r="P11" s="30"/>
      <c r="Q11" s="30"/>
      <c r="R11" s="30"/>
      <c r="S11" s="30"/>
      <c r="T11" s="30"/>
      <c r="U11" s="30">
        <v>3</v>
      </c>
      <c r="V11" s="30"/>
      <c r="W11" s="30"/>
      <c r="X11" s="30">
        <v>3</v>
      </c>
      <c r="Y11" s="30"/>
      <c r="Z11" s="30"/>
      <c r="AA11" s="30"/>
      <c r="AB11" s="30"/>
      <c r="AC11" s="72"/>
      <c r="AD11" s="41">
        <f>SUM(AE11:AL11)</f>
        <v>0</v>
      </c>
      <c r="AE11" s="28"/>
      <c r="AF11" s="28"/>
      <c r="AG11" s="28"/>
      <c r="AH11" s="28"/>
      <c r="AI11" s="28"/>
      <c r="AJ11" s="28"/>
      <c r="AK11" s="28"/>
      <c r="AL11" s="42"/>
    </row>
    <row r="12" spans="1:38" s="5" customFormat="1" ht="66.75" customHeight="1" x14ac:dyDescent="0.15">
      <c r="A12" s="79" t="s">
        <v>33</v>
      </c>
      <c r="B12" s="9" t="s">
        <v>46</v>
      </c>
      <c r="C12" s="19">
        <f>SUM(C13:C17)</f>
        <v>120</v>
      </c>
      <c r="D12" s="20">
        <f>IF(SUM(D13:D17)&gt;0,SUM(D13:D17)," ")</f>
        <v>119</v>
      </c>
      <c r="E12" s="36" t="str">
        <f t="shared" ref="E12:AL12" si="5">IF(SUM(E13:E17)&gt;0,SUM(E13:E17)," ")</f>
        <v xml:space="preserve"> </v>
      </c>
      <c r="F12" s="36">
        <f t="shared" si="5"/>
        <v>1</v>
      </c>
      <c r="G12" s="36" t="str">
        <f t="shared" si="5"/>
        <v xml:space="preserve"> </v>
      </c>
      <c r="H12" s="36">
        <f t="shared" si="5"/>
        <v>4</v>
      </c>
      <c r="I12" s="36">
        <f t="shared" si="5"/>
        <v>25</v>
      </c>
      <c r="J12" s="36">
        <f t="shared" si="5"/>
        <v>1</v>
      </c>
      <c r="K12" s="36" t="str">
        <f t="shared" si="5"/>
        <v xml:space="preserve"> </v>
      </c>
      <c r="L12" s="36">
        <f t="shared" si="5"/>
        <v>5</v>
      </c>
      <c r="M12" s="36">
        <f t="shared" si="5"/>
        <v>15</v>
      </c>
      <c r="N12" s="36" t="str">
        <f t="shared" si="5"/>
        <v xml:space="preserve"> </v>
      </c>
      <c r="O12" s="36" t="str">
        <f t="shared" si="5"/>
        <v xml:space="preserve"> </v>
      </c>
      <c r="P12" s="36">
        <f t="shared" si="5"/>
        <v>2</v>
      </c>
      <c r="Q12" s="36" t="str">
        <f t="shared" si="5"/>
        <v xml:space="preserve"> </v>
      </c>
      <c r="R12" s="36"/>
      <c r="S12" s="36"/>
      <c r="T12" s="36">
        <f t="shared" si="5"/>
        <v>5</v>
      </c>
      <c r="U12" s="36">
        <f t="shared" si="5"/>
        <v>30</v>
      </c>
      <c r="V12" s="36">
        <f t="shared" si="5"/>
        <v>2</v>
      </c>
      <c r="W12" s="36"/>
      <c r="X12" s="36">
        <f t="shared" si="5"/>
        <v>22</v>
      </c>
      <c r="Y12" s="36">
        <f t="shared" ref="Y12:AD12" si="6">IF(SUM(Y13:Y17)&gt;0,SUM(Y13:Y17)," ")</f>
        <v>2</v>
      </c>
      <c r="Z12" s="36" t="str">
        <f t="shared" si="6"/>
        <v xml:space="preserve"> </v>
      </c>
      <c r="AA12" s="36" t="str">
        <f t="shared" si="6"/>
        <v xml:space="preserve"> </v>
      </c>
      <c r="AB12" s="36" t="str">
        <f t="shared" si="6"/>
        <v xml:space="preserve"> </v>
      </c>
      <c r="AC12" s="75">
        <f t="shared" si="6"/>
        <v>5</v>
      </c>
      <c r="AD12" s="38">
        <f t="shared" si="6"/>
        <v>1</v>
      </c>
      <c r="AE12" s="39"/>
      <c r="AF12" s="39" t="str">
        <f>IF(SUM(AF13:AF17)&gt;0,SUM(AF13:AF17)," ")</f>
        <v xml:space="preserve"> </v>
      </c>
      <c r="AG12" s="39">
        <f t="shared" si="5"/>
        <v>1</v>
      </c>
      <c r="AH12" s="39" t="str">
        <f t="shared" si="5"/>
        <v xml:space="preserve"> </v>
      </c>
      <c r="AI12" s="39" t="str">
        <f t="shared" si="5"/>
        <v xml:space="preserve"> </v>
      </c>
      <c r="AJ12" s="39" t="str">
        <f t="shared" si="5"/>
        <v xml:space="preserve"> </v>
      </c>
      <c r="AK12" s="44" t="str">
        <f t="shared" si="5"/>
        <v xml:space="preserve"> </v>
      </c>
      <c r="AL12" s="59" t="str">
        <f t="shared" si="5"/>
        <v xml:space="preserve"> </v>
      </c>
    </row>
    <row r="13" spans="1:38" ht="66.75" customHeight="1" x14ac:dyDescent="0.15">
      <c r="A13" s="80"/>
      <c r="B13" s="8" t="s">
        <v>47</v>
      </c>
      <c r="C13" s="14">
        <f>SUM(D13,AD13)</f>
        <v>27</v>
      </c>
      <c r="D13" s="15">
        <f>SUM(E13:AC13)</f>
        <v>27</v>
      </c>
      <c r="E13" s="30"/>
      <c r="F13" s="30">
        <v>1</v>
      </c>
      <c r="G13" s="30"/>
      <c r="H13" s="30"/>
      <c r="I13" s="30">
        <v>6</v>
      </c>
      <c r="J13" s="30"/>
      <c r="K13" s="30"/>
      <c r="L13" s="30">
        <v>1</v>
      </c>
      <c r="M13" s="30">
        <v>3</v>
      </c>
      <c r="N13" s="30"/>
      <c r="O13" s="68"/>
      <c r="P13" s="30">
        <v>1</v>
      </c>
      <c r="Q13" s="30"/>
      <c r="R13" s="30"/>
      <c r="S13" s="30"/>
      <c r="T13" s="30">
        <v>1</v>
      </c>
      <c r="U13" s="30">
        <v>9</v>
      </c>
      <c r="V13" s="30"/>
      <c r="W13" s="30"/>
      <c r="X13" s="30">
        <v>4</v>
      </c>
      <c r="Y13" s="28">
        <v>0</v>
      </c>
      <c r="Z13" s="30"/>
      <c r="AA13" s="30"/>
      <c r="AB13" s="30"/>
      <c r="AC13" s="72">
        <v>1</v>
      </c>
      <c r="AD13" s="41">
        <f>SUM(AE13:AL13)</f>
        <v>0</v>
      </c>
      <c r="AE13" s="28"/>
      <c r="AF13" s="28"/>
      <c r="AG13" s="28"/>
      <c r="AH13" s="28">
        <v>0</v>
      </c>
      <c r="AI13" s="28"/>
      <c r="AJ13" s="28"/>
      <c r="AK13" s="60"/>
      <c r="AL13" s="42"/>
    </row>
    <row r="14" spans="1:38" ht="66.75" customHeight="1" x14ac:dyDescent="0.15">
      <c r="A14" s="80"/>
      <c r="B14" s="8" t="s">
        <v>48</v>
      </c>
      <c r="C14" s="14">
        <f>SUM(D14,AD14)</f>
        <v>25</v>
      </c>
      <c r="D14" s="15">
        <f t="shared" ref="D14:D17" si="7">SUM(E14:AC14)</f>
        <v>25</v>
      </c>
      <c r="E14" s="30"/>
      <c r="F14" s="30"/>
      <c r="G14" s="30"/>
      <c r="H14" s="30">
        <v>1</v>
      </c>
      <c r="I14" s="30">
        <v>5</v>
      </c>
      <c r="J14" s="30"/>
      <c r="K14" s="30"/>
      <c r="L14" s="30">
        <v>1</v>
      </c>
      <c r="M14" s="30">
        <v>2</v>
      </c>
      <c r="N14" s="30"/>
      <c r="O14" s="30"/>
      <c r="P14" s="30">
        <v>1</v>
      </c>
      <c r="Q14" s="30"/>
      <c r="R14" s="30"/>
      <c r="S14" s="30"/>
      <c r="T14" s="30">
        <v>1</v>
      </c>
      <c r="U14" s="30">
        <v>7</v>
      </c>
      <c r="V14" s="30">
        <v>1</v>
      </c>
      <c r="W14" s="30"/>
      <c r="X14" s="30">
        <v>5</v>
      </c>
      <c r="Y14" s="30">
        <v>0</v>
      </c>
      <c r="Z14" s="30"/>
      <c r="AA14" s="30"/>
      <c r="AB14" s="30"/>
      <c r="AC14" s="72">
        <v>1</v>
      </c>
      <c r="AD14" s="41">
        <f>SUM(AE14:AL14)</f>
        <v>0</v>
      </c>
      <c r="AE14" s="28"/>
      <c r="AF14" s="28"/>
      <c r="AG14" s="28"/>
      <c r="AH14" s="60"/>
      <c r="AI14" s="28"/>
      <c r="AJ14" s="28"/>
      <c r="AK14" s="28"/>
      <c r="AL14" s="42"/>
    </row>
    <row r="15" spans="1:38" ht="66.75" customHeight="1" x14ac:dyDescent="0.15">
      <c r="A15" s="80"/>
      <c r="B15" s="8" t="s">
        <v>49</v>
      </c>
      <c r="C15" s="14">
        <f>SUM(D15,AD15)</f>
        <v>21</v>
      </c>
      <c r="D15" s="15">
        <f t="shared" si="7"/>
        <v>21</v>
      </c>
      <c r="E15" s="30"/>
      <c r="F15" s="30"/>
      <c r="G15" s="30"/>
      <c r="H15" s="30">
        <v>1</v>
      </c>
      <c r="I15" s="30">
        <v>4</v>
      </c>
      <c r="J15" s="30">
        <v>1</v>
      </c>
      <c r="K15" s="30"/>
      <c r="L15" s="30">
        <v>1</v>
      </c>
      <c r="M15" s="30">
        <v>3</v>
      </c>
      <c r="N15" s="30"/>
      <c r="O15" s="30"/>
      <c r="P15" s="30"/>
      <c r="Q15" s="30"/>
      <c r="R15" s="30"/>
      <c r="S15" s="30"/>
      <c r="T15" s="30">
        <v>1</v>
      </c>
      <c r="U15" s="30">
        <v>4</v>
      </c>
      <c r="V15" s="30"/>
      <c r="W15" s="30"/>
      <c r="X15" s="30">
        <v>5</v>
      </c>
      <c r="Y15" s="30"/>
      <c r="Z15" s="30"/>
      <c r="AA15" s="30"/>
      <c r="AB15" s="30"/>
      <c r="AC15" s="72">
        <v>1</v>
      </c>
      <c r="AD15" s="41">
        <f>SUM(AE15:AL15)</f>
        <v>0</v>
      </c>
      <c r="AE15" s="28"/>
      <c r="AF15" s="28"/>
      <c r="AG15" s="28"/>
      <c r="AH15" s="28"/>
      <c r="AI15" s="28"/>
      <c r="AJ15" s="28"/>
      <c r="AK15" s="28"/>
      <c r="AL15" s="42"/>
    </row>
    <row r="16" spans="1:38" ht="66.75" customHeight="1" x14ac:dyDescent="0.15">
      <c r="A16" s="80"/>
      <c r="B16" s="8" t="s">
        <v>50</v>
      </c>
      <c r="C16" s="14">
        <f>SUM(D16,AD16)</f>
        <v>23</v>
      </c>
      <c r="D16" s="15">
        <f t="shared" si="7"/>
        <v>23</v>
      </c>
      <c r="E16" s="30"/>
      <c r="F16" s="30"/>
      <c r="G16" s="30"/>
      <c r="H16" s="30">
        <v>1</v>
      </c>
      <c r="I16" s="28">
        <v>4</v>
      </c>
      <c r="J16" s="30"/>
      <c r="K16" s="30"/>
      <c r="L16" s="30">
        <v>1</v>
      </c>
      <c r="M16" s="30">
        <v>3</v>
      </c>
      <c r="N16" s="30"/>
      <c r="O16" s="30"/>
      <c r="P16" s="30"/>
      <c r="Q16" s="30"/>
      <c r="R16" s="30"/>
      <c r="S16" s="30"/>
      <c r="T16" s="30">
        <v>1</v>
      </c>
      <c r="U16" s="30">
        <v>6</v>
      </c>
      <c r="V16" s="30">
        <v>1</v>
      </c>
      <c r="W16" s="30"/>
      <c r="X16" s="30">
        <v>4</v>
      </c>
      <c r="Y16" s="30">
        <v>1</v>
      </c>
      <c r="Z16" s="30"/>
      <c r="AA16" s="30"/>
      <c r="AB16" s="30"/>
      <c r="AC16" s="72">
        <v>1</v>
      </c>
      <c r="AD16" s="41">
        <f>SUM(AE16:AL16)</f>
        <v>0</v>
      </c>
      <c r="AE16" s="28"/>
      <c r="AF16" s="30"/>
      <c r="AG16" s="28"/>
      <c r="AH16" s="28"/>
      <c r="AI16" s="28"/>
      <c r="AJ16" s="28"/>
      <c r="AK16" s="28"/>
      <c r="AL16" s="42"/>
    </row>
    <row r="17" spans="1:38" ht="66.75" customHeight="1" thickBot="1" x14ac:dyDescent="0.2">
      <c r="A17" s="81"/>
      <c r="B17" s="62" t="s">
        <v>51</v>
      </c>
      <c r="C17" s="63">
        <f>SUM(D17,AD17)</f>
        <v>24</v>
      </c>
      <c r="D17" s="15">
        <f t="shared" si="7"/>
        <v>23</v>
      </c>
      <c r="E17" s="64"/>
      <c r="F17" s="64"/>
      <c r="G17" s="64"/>
      <c r="H17" s="64">
        <v>1</v>
      </c>
      <c r="I17" s="66">
        <v>6</v>
      </c>
      <c r="J17" s="64"/>
      <c r="K17" s="64"/>
      <c r="L17" s="64">
        <v>1</v>
      </c>
      <c r="M17" s="64">
        <v>4</v>
      </c>
      <c r="N17" s="64"/>
      <c r="O17" s="64"/>
      <c r="P17" s="64"/>
      <c r="Q17" s="64"/>
      <c r="R17" s="64"/>
      <c r="S17" s="64"/>
      <c r="T17" s="64">
        <v>1</v>
      </c>
      <c r="U17" s="64">
        <v>4</v>
      </c>
      <c r="V17" s="64"/>
      <c r="W17" s="64"/>
      <c r="X17" s="64">
        <v>4</v>
      </c>
      <c r="Y17" s="76">
        <v>1</v>
      </c>
      <c r="Z17" s="64"/>
      <c r="AA17" s="64"/>
      <c r="AB17" s="64"/>
      <c r="AC17" s="73">
        <v>1</v>
      </c>
      <c r="AD17" s="65">
        <f>SUM(AE17:AL17)</f>
        <v>1</v>
      </c>
      <c r="AE17" s="66"/>
      <c r="AF17" s="66"/>
      <c r="AG17" s="66">
        <v>1</v>
      </c>
      <c r="AH17" s="66"/>
      <c r="AI17" s="66"/>
      <c r="AJ17" s="66"/>
      <c r="AK17" s="66"/>
      <c r="AL17" s="67"/>
    </row>
  </sheetData>
  <mergeCells count="15">
    <mergeCell ref="A8:A11"/>
    <mergeCell ref="A12:A17"/>
    <mergeCell ref="AD5:AD6"/>
    <mergeCell ref="AE5:AL5"/>
    <mergeCell ref="A7:B7"/>
    <mergeCell ref="U5:W5"/>
    <mergeCell ref="B2:AL2"/>
    <mergeCell ref="A4:B6"/>
    <mergeCell ref="C4:C6"/>
    <mergeCell ref="D5:D6"/>
    <mergeCell ref="E5:E6"/>
    <mergeCell ref="D4:AL4"/>
    <mergeCell ref="I5:L5"/>
    <mergeCell ref="M5:T5"/>
    <mergeCell ref="X5:AC5"/>
  </mergeCells>
  <phoneticPr fontId="3" type="noConversion"/>
  <pageMargins left="0.35433070866141736" right="0.15748031496062992" top="0.27559055118110237" bottom="0.74803149606299213" header="0.31496062992125984" footer="0.31496062992125984"/>
  <pageSetup paperSize="9" scale="38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기준정원(별표1)</vt:lpstr>
      <vt:lpstr>운영정원(별표1-1)</vt:lpstr>
      <vt:lpstr>'기준정원(별표1)'!Print_Area</vt:lpstr>
      <vt:lpstr>'운영정원(별표1-1)'!Print_Area</vt:lpstr>
    </vt:vector>
  </TitlesOfParts>
  <Company>산림청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foa</dc:creator>
  <cp:lastModifiedBy>USER</cp:lastModifiedBy>
  <cp:lastPrinted>2026-02-19T03:39:17Z</cp:lastPrinted>
  <dcterms:created xsi:type="dcterms:W3CDTF">2006-08-08T02:55:37Z</dcterms:created>
  <dcterms:modified xsi:type="dcterms:W3CDTF">2026-02-19T03:42:13Z</dcterms:modified>
</cp:coreProperties>
</file>