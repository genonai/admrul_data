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이전\2-1. 훈령개정(현택)\2026.2.19 훈령개정(정원)\"/>
    </mc:Choice>
  </mc:AlternateContent>
  <bookViews>
    <workbookView xWindow="0" yWindow="0" windowWidth="28800" windowHeight="12135" tabRatio="802" activeTab="1"/>
  </bookViews>
  <sheets>
    <sheet name="(별표1)북부지방산림청 하부조직별 정원표-기준정원" sheetId="9" r:id="rId1"/>
    <sheet name="(별표1의1)북부지방산림청 하부조직별 정원표-운영정원" sheetId="8" r:id="rId2"/>
  </sheets>
  <definedNames>
    <definedName name="_xlnm.Print_Area" localSheetId="0">'(별표1)북부지방산림청 하부조직별 정원표-기준정원'!$A$1:$AB$19</definedName>
    <definedName name="_xlnm.Print_Area" localSheetId="1">'(별표1의1)북부지방산림청 하부조직별 정원표-운영정원'!$A$1:$AD$19</definedName>
    <definedName name="_xlnm.Print_Titles" localSheetId="0">'(별표1)북부지방산림청 하부조직별 정원표-기준정원'!$A:$B</definedName>
    <definedName name="_xlnm.Print_Titles" localSheetId="1">'(별표1의1)북부지방산림청 하부조직별 정원표-운영정원'!$A:$B</definedName>
  </definedNames>
  <calcPr calcId="162913"/>
</workbook>
</file>

<file path=xl/calcChain.xml><?xml version="1.0" encoding="utf-8"?>
<calcChain xmlns="http://schemas.openxmlformats.org/spreadsheetml/2006/main">
  <c r="X13" i="9" l="1"/>
  <c r="X8" i="9"/>
  <c r="X7" i="9"/>
  <c r="P13" i="9"/>
  <c r="P7" i="9" s="1"/>
  <c r="P8" i="9"/>
  <c r="I13" i="9"/>
  <c r="I7" i="9" s="1"/>
  <c r="I8" i="9"/>
  <c r="Z13" i="8"/>
  <c r="Z8" i="8"/>
  <c r="Z7" i="8"/>
  <c r="R13" i="8"/>
  <c r="R8" i="8"/>
  <c r="R7" i="8"/>
  <c r="J13" i="8"/>
  <c r="J8" i="8"/>
  <c r="J7" i="8"/>
  <c r="J8" i="9"/>
  <c r="J13" i="9"/>
  <c r="J7" i="9" l="1"/>
  <c r="O13" i="9"/>
  <c r="O8" i="9"/>
  <c r="O7" i="9" l="1"/>
  <c r="S8" i="9"/>
  <c r="S13" i="9"/>
  <c r="S7" i="9" l="1"/>
  <c r="X8" i="8"/>
  <c r="S13" i="8"/>
  <c r="P8" i="8"/>
  <c r="S8" i="8"/>
  <c r="S7" i="8" s="1"/>
  <c r="P13" i="8"/>
  <c r="O13" i="8"/>
  <c r="O8" i="8"/>
  <c r="D8" i="9"/>
  <c r="E8" i="9"/>
  <c r="F8" i="9"/>
  <c r="G8" i="9"/>
  <c r="H8" i="9"/>
  <c r="K8" i="9"/>
  <c r="L8" i="9"/>
  <c r="M8" i="9"/>
  <c r="N8" i="9"/>
  <c r="Q8" i="9"/>
  <c r="R8" i="9"/>
  <c r="T8" i="9"/>
  <c r="U8" i="9"/>
  <c r="V8" i="9"/>
  <c r="W8" i="9"/>
  <c r="Y8" i="9"/>
  <c r="Z8" i="9"/>
  <c r="AA8" i="9"/>
  <c r="AB8" i="9"/>
  <c r="C9" i="9"/>
  <c r="C10" i="9"/>
  <c r="C11" i="9"/>
  <c r="C12" i="9"/>
  <c r="D13" i="9"/>
  <c r="E13" i="9"/>
  <c r="F13" i="9"/>
  <c r="G13" i="9"/>
  <c r="G7" i="9" s="1"/>
  <c r="H13" i="9"/>
  <c r="K13" i="9"/>
  <c r="L13" i="9"/>
  <c r="L7" i="9" s="1"/>
  <c r="M13" i="9"/>
  <c r="N13" i="9"/>
  <c r="Q13" i="9"/>
  <c r="R13" i="9"/>
  <c r="T13" i="9"/>
  <c r="U13" i="9"/>
  <c r="V13" i="9"/>
  <c r="W13" i="9"/>
  <c r="Y13" i="9"/>
  <c r="Z13" i="9"/>
  <c r="AA13" i="9"/>
  <c r="AA7" i="9" s="1"/>
  <c r="AB13" i="9"/>
  <c r="C14" i="9"/>
  <c r="C15" i="9"/>
  <c r="C16" i="9"/>
  <c r="C17" i="9"/>
  <c r="C18" i="9"/>
  <c r="C19" i="9"/>
  <c r="P7" i="8" l="1"/>
  <c r="Q7" i="9"/>
  <c r="K7" i="9"/>
  <c r="F7" i="9"/>
  <c r="Z7" i="9"/>
  <c r="R7" i="9"/>
  <c r="V7" i="9"/>
  <c r="U7" i="9"/>
  <c r="Y7" i="9"/>
  <c r="T7" i="9"/>
  <c r="N7" i="9"/>
  <c r="E7" i="9"/>
  <c r="W7" i="9"/>
  <c r="M7" i="9"/>
  <c r="D7" i="9"/>
  <c r="O7" i="8"/>
  <c r="AB7" i="9"/>
  <c r="C13" i="9"/>
  <c r="H7" i="9"/>
  <c r="C8" i="9"/>
  <c r="C7" i="9" l="1"/>
  <c r="X13" i="8" l="1"/>
  <c r="X7" i="8" s="1"/>
  <c r="Q13" i="8"/>
  <c r="Q8" i="8"/>
  <c r="K13" i="8"/>
  <c r="K8" i="8"/>
  <c r="I13" i="8"/>
  <c r="I8" i="8"/>
  <c r="I7" i="8" s="1"/>
  <c r="Q7" i="8" l="1"/>
  <c r="K7" i="8"/>
  <c r="U13" i="8" l="1"/>
  <c r="U8" i="8"/>
  <c r="U7" i="8" l="1"/>
  <c r="M13" i="8" l="1"/>
  <c r="N13" i="8"/>
  <c r="AE8" i="8"/>
  <c r="AE13" i="8"/>
  <c r="N8" i="8"/>
  <c r="M8" i="8"/>
  <c r="V13" i="8"/>
  <c r="V8" i="8"/>
  <c r="E8" i="8"/>
  <c r="F8" i="8"/>
  <c r="G8" i="8"/>
  <c r="H8" i="8"/>
  <c r="L8" i="8"/>
  <c r="T8" i="8"/>
  <c r="W8" i="8"/>
  <c r="AA8" i="8"/>
  <c r="Y8" i="8"/>
  <c r="AB8" i="8"/>
  <c r="AC8" i="8"/>
  <c r="AD8" i="8"/>
  <c r="E13" i="8"/>
  <c r="F13" i="8"/>
  <c r="G13" i="8"/>
  <c r="H13" i="8"/>
  <c r="L13" i="8"/>
  <c r="T13" i="8"/>
  <c r="W13" i="8"/>
  <c r="AA13" i="8"/>
  <c r="Y13" i="8"/>
  <c r="AB13" i="8"/>
  <c r="AC13" i="8"/>
  <c r="AD13" i="8"/>
  <c r="AE7" i="8" l="1"/>
  <c r="M7" i="8"/>
  <c r="N7" i="8"/>
  <c r="AD7" i="8"/>
  <c r="AA7" i="8"/>
  <c r="F7" i="8"/>
  <c r="V7" i="8"/>
  <c r="T7" i="8"/>
  <c r="L7" i="8"/>
  <c r="H7" i="8"/>
  <c r="AB7" i="8"/>
  <c r="AC7" i="8"/>
  <c r="Y7" i="8"/>
  <c r="W7" i="8"/>
  <c r="G7" i="8"/>
  <c r="E7" i="8"/>
  <c r="C19" i="8"/>
  <c r="C18" i="8"/>
  <c r="C17" i="8"/>
  <c r="C16" i="8"/>
  <c r="C15" i="8"/>
  <c r="C14" i="8"/>
  <c r="D13" i="8"/>
  <c r="C12" i="8"/>
  <c r="C11" i="8"/>
  <c r="C10" i="8"/>
  <c r="C9" i="8"/>
  <c r="D8" i="8"/>
  <c r="D7" i="8" l="1"/>
  <c r="C13" i="8"/>
  <c r="C8" i="8"/>
  <c r="C7" i="8" l="1"/>
</calcChain>
</file>

<file path=xl/sharedStrings.xml><?xml version="1.0" encoding="utf-8"?>
<sst xmlns="http://schemas.openxmlformats.org/spreadsheetml/2006/main" count="105" uniqueCount="91">
  <si>
    <t>산림경영과</t>
    <phoneticPr fontId="3" type="noConversion"/>
  </si>
  <si>
    <t>서울</t>
    <phoneticPr fontId="3" type="noConversion"/>
  </si>
  <si>
    <t>수원</t>
    <phoneticPr fontId="3" type="noConversion"/>
  </si>
  <si>
    <t xml:space="preserve"> 행또
 정는
 주
 사방
 ．재
 임안
 업전
 주주
 사사</t>
    <phoneticPr fontId="3" type="noConversion"/>
  </si>
  <si>
    <t xml:space="preserve">고
위
공
무
원
단
</t>
    <phoneticPr fontId="3" type="noConversion"/>
  </si>
  <si>
    <t>4급</t>
    <phoneticPr fontId="3" type="noConversion"/>
  </si>
  <si>
    <t xml:space="preserve"> 행임
 정업
 주주
 사사
 보보
 또
 는</t>
    <phoneticPr fontId="3" type="noConversion"/>
  </si>
  <si>
    <t>행임
정업
서서
기기
보보
또
는</t>
    <phoneticPr fontId="3" type="noConversion"/>
  </si>
  <si>
    <t>기
계
운
영
서
기</t>
    <phoneticPr fontId="3" type="noConversion"/>
  </si>
  <si>
    <t>사
무
운
영
서
기
보</t>
    <phoneticPr fontId="3" type="noConversion"/>
  </si>
  <si>
    <t>운
전
서
기
보</t>
    <phoneticPr fontId="3" type="noConversion"/>
  </si>
  <si>
    <t>4 ·5급</t>
    <phoneticPr fontId="3" type="noConversion"/>
  </si>
  <si>
    <t>6급</t>
    <phoneticPr fontId="3" type="noConversion"/>
  </si>
  <si>
    <t>8급</t>
    <phoneticPr fontId="3" type="noConversion"/>
  </si>
  <si>
    <t>9급</t>
    <phoneticPr fontId="3" type="noConversion"/>
  </si>
  <si>
    <t xml:space="preserve">
지
방
청
</t>
    <phoneticPr fontId="3" type="noConversion"/>
  </si>
  <si>
    <t>양묘사업소
(용문)</t>
    <phoneticPr fontId="3" type="noConversion"/>
  </si>
  <si>
    <t xml:space="preserve">방
송
통
신
서
기
보
</t>
    <phoneticPr fontId="3" type="noConversion"/>
  </si>
  <si>
    <t>농
림
운
영
서
기
보</t>
    <phoneticPr fontId="3" type="noConversion"/>
  </si>
  <si>
    <t>행임
정업
서서
기기
또
는</t>
    <phoneticPr fontId="3" type="noConversion"/>
  </si>
  <si>
    <t>북부지방산림청</t>
    <phoneticPr fontId="3" type="noConversion"/>
  </si>
  <si>
    <t>소계</t>
    <phoneticPr fontId="3" type="noConversion"/>
  </si>
  <si>
    <t xml:space="preserve">
국
유
림
관
리
소
</t>
    <phoneticPr fontId="3" type="noConversion"/>
  </si>
  <si>
    <t>춘천</t>
    <phoneticPr fontId="3" type="noConversion"/>
  </si>
  <si>
    <t>홍천</t>
    <phoneticPr fontId="3" type="noConversion"/>
  </si>
  <si>
    <t>인제</t>
    <phoneticPr fontId="3" type="noConversion"/>
  </si>
  <si>
    <t>민북지역</t>
    <phoneticPr fontId="3" type="noConversion"/>
  </si>
  <si>
    <t>5급</t>
    <phoneticPr fontId="3" type="noConversion"/>
  </si>
  <si>
    <t>행정주사 또는 임업주사</t>
    <phoneticPr fontId="3" type="noConversion"/>
  </si>
  <si>
    <t>7급</t>
    <phoneticPr fontId="3" type="noConversion"/>
  </si>
  <si>
    <t>관리운영직군</t>
    <phoneticPr fontId="3" type="noConversion"/>
  </si>
  <si>
    <t xml:space="preserve"> 행임
 정업
 사사
 무무
 관관
 또
 는</t>
    <phoneticPr fontId="3" type="noConversion"/>
  </si>
  <si>
    <t>또는 임업연구사
행정주사보·임업주사보</t>
    <phoneticPr fontId="3" type="noConversion"/>
  </si>
  <si>
    <t>시설주사보 
공업주사보 또는</t>
    <phoneticPr fontId="3" type="noConversion"/>
  </si>
  <si>
    <t>보건주사보</t>
    <phoneticPr fontId="3" type="noConversion"/>
  </si>
  <si>
    <t>계</t>
    <phoneticPr fontId="3" type="noConversion"/>
  </si>
  <si>
    <t>또는 공업서기
행정서기·임업서기</t>
    <phoneticPr fontId="3" type="noConversion"/>
  </si>
  <si>
    <t>방
송
통
신
서
기</t>
    <phoneticPr fontId="3" type="noConversion"/>
  </si>
  <si>
    <t>공
업
서
기
보</t>
    <phoneticPr fontId="3" type="noConversion"/>
  </si>
  <si>
    <t>운전주사</t>
    <phoneticPr fontId="3" type="noConversion"/>
  </si>
  <si>
    <t xml:space="preserve">방
송
통
신
서
기
보
</t>
    <phoneticPr fontId="3" type="noConversion"/>
  </si>
  <si>
    <t>기
계
운
영
서
기</t>
    <phoneticPr fontId="3" type="noConversion"/>
  </si>
  <si>
    <t>민북지역</t>
    <phoneticPr fontId="3" type="noConversion"/>
  </si>
  <si>
    <t>인제</t>
    <phoneticPr fontId="3" type="noConversion"/>
  </si>
  <si>
    <t>수원</t>
    <phoneticPr fontId="3" type="noConversion"/>
  </si>
  <si>
    <t>서울</t>
    <phoneticPr fontId="3" type="noConversion"/>
  </si>
  <si>
    <t>홍천</t>
    <phoneticPr fontId="3" type="noConversion"/>
  </si>
  <si>
    <t>춘천</t>
    <phoneticPr fontId="3" type="noConversion"/>
  </si>
  <si>
    <t>소계</t>
    <phoneticPr fontId="3" type="noConversion"/>
  </si>
  <si>
    <t xml:space="preserve">
국
유
림
관
리
소
</t>
    <phoneticPr fontId="3" type="noConversion"/>
  </si>
  <si>
    <t>양묘사업소
(용문)</t>
    <phoneticPr fontId="3" type="noConversion"/>
  </si>
  <si>
    <t>산림경영과</t>
    <phoneticPr fontId="3" type="noConversion"/>
  </si>
  <si>
    <t xml:space="preserve">
지
방
청
</t>
    <phoneticPr fontId="3" type="noConversion"/>
  </si>
  <si>
    <t>북부지방산림청</t>
    <phoneticPr fontId="3" type="noConversion"/>
  </si>
  <si>
    <t>사
무
운
영
서
기
보</t>
    <phoneticPr fontId="3" type="noConversion"/>
  </si>
  <si>
    <t>농
림
운
영
서
기
보</t>
    <phoneticPr fontId="3" type="noConversion"/>
  </si>
  <si>
    <t>공
업
서
기
보</t>
    <phoneticPr fontId="3" type="noConversion"/>
  </si>
  <si>
    <t>행임
정업
서서
기기
보보
또
는</t>
    <phoneticPr fontId="3" type="noConversion"/>
  </si>
  <si>
    <t>행임
정업
서서
기기
또
는</t>
    <phoneticPr fontId="3" type="noConversion"/>
  </si>
  <si>
    <t>또는 임업연구사
행정주사보·임업주사보</t>
    <phoneticPr fontId="3" type="noConversion"/>
  </si>
  <si>
    <t>보건주사보</t>
    <phoneticPr fontId="3" type="noConversion"/>
  </si>
  <si>
    <t>시설주사보 
공업주사보 또는</t>
    <phoneticPr fontId="3" type="noConversion"/>
  </si>
  <si>
    <t xml:space="preserve"> 행임
 정업
 주주
 사사
 보보
 또
 는</t>
    <phoneticPr fontId="3" type="noConversion"/>
  </si>
  <si>
    <t xml:space="preserve"> 행임
 정업
 사사
 무무
 관관
 또
 는</t>
    <phoneticPr fontId="3" type="noConversion"/>
  </si>
  <si>
    <t>관리운영직군</t>
    <phoneticPr fontId="3" type="noConversion"/>
  </si>
  <si>
    <t>9급</t>
    <phoneticPr fontId="3" type="noConversion"/>
  </si>
  <si>
    <t>8급</t>
    <phoneticPr fontId="3" type="noConversion"/>
  </si>
  <si>
    <t>7급</t>
    <phoneticPr fontId="3" type="noConversion"/>
  </si>
  <si>
    <t>6급</t>
    <phoneticPr fontId="3" type="noConversion"/>
  </si>
  <si>
    <t>5급</t>
    <phoneticPr fontId="3" type="noConversion"/>
  </si>
  <si>
    <t>4 ·5급</t>
    <phoneticPr fontId="3" type="noConversion"/>
  </si>
  <si>
    <t>4급</t>
    <phoneticPr fontId="3" type="noConversion"/>
  </si>
  <si>
    <t xml:space="preserve">고
위
공
무
원
단
</t>
    <phoneticPr fontId="3" type="noConversion"/>
  </si>
  <si>
    <t>계</t>
    <phoneticPr fontId="3" type="noConversion"/>
  </si>
  <si>
    <t>【별표 1】</t>
    <phoneticPr fontId="3" type="noConversion"/>
  </si>
  <si>
    <t>또는 시설주사보
행정주사보·임업주사보</t>
    <phoneticPr fontId="3" type="noConversion"/>
  </si>
  <si>
    <t>행정주사 또는 임업주사</t>
    <phoneticPr fontId="3" type="noConversion"/>
  </si>
  <si>
    <t>또는 공업주사보
행정주사보·임업주사보</t>
    <phoneticPr fontId="3" type="noConversion"/>
  </si>
  <si>
    <t>【별표 1의1】</t>
    <phoneticPr fontId="3" type="noConversion"/>
  </si>
  <si>
    <t>과학기술서기관 
서기관 또는</t>
    <phoneticPr fontId="3" type="noConversion"/>
  </si>
  <si>
    <t>행정사무관 또는 임업사무관
서기관·과학기술서기관·</t>
    <phoneticPr fontId="3" type="noConversion"/>
  </si>
  <si>
    <t>산림재난안전과</t>
    <phoneticPr fontId="3" type="noConversion"/>
  </si>
  <si>
    <t>운영재산관리팀</t>
    <phoneticPr fontId="3" type="noConversion"/>
  </si>
  <si>
    <t>또는 시설주사보
행정주사보·임업주사보</t>
  </si>
  <si>
    <t>임업주사보</t>
    <phoneticPr fontId="3" type="noConversion"/>
  </si>
  <si>
    <t>임업주사</t>
    <phoneticPr fontId="3" type="noConversion"/>
  </si>
  <si>
    <t>운
전
서
기
보</t>
  </si>
  <si>
    <t>임
업
서
기
보</t>
    <phoneticPr fontId="3" type="noConversion"/>
  </si>
  <si>
    <t>방송통신주사보</t>
  </si>
  <si>
    <r>
      <t>북부지방산림청 하부조직별 기준정원표</t>
    </r>
    <r>
      <rPr>
        <b/>
        <sz val="36"/>
        <color rgb="FFFF0000"/>
        <rFont val="바탕"/>
        <family val="1"/>
        <charset val="129"/>
      </rPr>
      <t>(26.2.19.)</t>
    </r>
    <phoneticPr fontId="3" type="noConversion"/>
  </si>
  <si>
    <r>
      <t>북부지방산림청 하부조직별 운영정원표</t>
    </r>
    <r>
      <rPr>
        <b/>
        <sz val="36"/>
        <color rgb="FFFF0000"/>
        <rFont val="바탕"/>
        <family val="1"/>
        <charset val="129"/>
      </rPr>
      <t>(26.2.19.)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</si>
</sst>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.0_ "/>
    <numFmt numFmtId="177" formatCode="0.0;[Red]0.0"/>
  </numFmts>
  <fonts count="20" x14ac:knownFonts="1">
    <font>
      <sz val="12"/>
      <name val="바탕"/>
      <family val="1"/>
      <charset val="129"/>
    </font>
    <font>
      <sz val="12"/>
      <name val="바탕"/>
      <family val="1"/>
      <charset val="129"/>
    </font>
    <font>
      <sz val="12"/>
      <name val="바탕"/>
      <family val="1"/>
      <charset val="129"/>
    </font>
    <font>
      <sz val="8"/>
      <name val="바탕"/>
      <family val="1"/>
      <charset val="129"/>
    </font>
    <font>
      <sz val="10"/>
      <name val="바탕"/>
      <family val="1"/>
      <charset val="129"/>
    </font>
    <font>
      <b/>
      <sz val="22"/>
      <name val="바탕"/>
      <family val="1"/>
      <charset val="129"/>
    </font>
    <font>
      <b/>
      <sz val="12"/>
      <name val="바탕"/>
      <family val="1"/>
      <charset val="129"/>
    </font>
    <font>
      <sz val="13"/>
      <name val="바탕"/>
      <family val="1"/>
      <charset val="129"/>
    </font>
    <font>
      <b/>
      <sz val="36"/>
      <name val="바탕"/>
      <family val="1"/>
      <charset val="129"/>
    </font>
    <font>
      <sz val="14"/>
      <name val="바탕"/>
      <family val="1"/>
      <charset val="129"/>
    </font>
    <font>
      <sz val="12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sz val="13"/>
      <color theme="1"/>
      <name val="바탕"/>
      <family val="1"/>
      <charset val="129"/>
    </font>
    <font>
      <sz val="12"/>
      <color rgb="FFFF0000"/>
      <name val="바탕"/>
      <family val="1"/>
      <charset val="129"/>
    </font>
    <font>
      <b/>
      <sz val="36"/>
      <color rgb="FFFF0000"/>
      <name val="바탕"/>
      <family val="1"/>
      <charset val="129"/>
    </font>
    <font>
      <sz val="14"/>
      <color theme="1"/>
      <name val="바탕"/>
      <family val="1"/>
      <charset val="129"/>
    </font>
    <font>
      <b/>
      <sz val="36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12"/>
      <color rgb="FFFF0000"/>
      <name val="바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27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9">
    <xf numFmtId="0" fontId="0" fillId="0" borderId="0" xfId="0"/>
    <xf numFmtId="41" fontId="4" fillId="0" borderId="0" xfId="1" applyFont="1" applyFill="1"/>
    <xf numFmtId="41" fontId="4" fillId="0" borderId="0" xfId="1" applyFont="1" applyFill="1" applyBorder="1"/>
    <xf numFmtId="49" fontId="1" fillId="0" borderId="0" xfId="1" applyNumberFormat="1" applyFont="1" applyFill="1" applyAlignment="1">
      <alignment vertical="top"/>
    </xf>
    <xf numFmtId="41" fontId="6" fillId="0" borderId="0" xfId="1" applyFont="1" applyFill="1" applyBorder="1" applyAlignment="1">
      <alignment vertical="center"/>
    </xf>
    <xf numFmtId="41" fontId="1" fillId="0" borderId="0" xfId="1" applyFont="1" applyFill="1" applyBorder="1" applyAlignment="1">
      <alignment vertical="center"/>
    </xf>
    <xf numFmtId="41" fontId="1" fillId="4" borderId="0" xfId="1" applyFont="1" applyFill="1" applyBorder="1" applyAlignment="1">
      <alignment vertical="center"/>
    </xf>
    <xf numFmtId="41" fontId="6" fillId="6" borderId="0" xfId="1" applyFont="1" applyFill="1" applyBorder="1" applyAlignment="1">
      <alignment vertical="center"/>
    </xf>
    <xf numFmtId="41" fontId="8" fillId="0" borderId="0" xfId="1" applyFont="1" applyFill="1" applyAlignment="1">
      <alignment vertical="center"/>
    </xf>
    <xf numFmtId="41" fontId="11" fillId="0" borderId="1" xfId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vertical="center"/>
    </xf>
    <xf numFmtId="41" fontId="11" fillId="6" borderId="0" xfId="1" applyFont="1" applyFill="1" applyBorder="1" applyAlignment="1">
      <alignment vertical="center"/>
    </xf>
    <xf numFmtId="41" fontId="11" fillId="0" borderId="0" xfId="1" applyFont="1" applyFill="1" applyBorder="1" applyAlignment="1">
      <alignment vertical="center"/>
    </xf>
    <xf numFmtId="41" fontId="10" fillId="0" borderId="0" xfId="1" applyFont="1" applyFill="1" applyBorder="1" applyAlignment="1">
      <alignment vertical="center"/>
    </xf>
    <xf numFmtId="176" fontId="10" fillId="4" borderId="0" xfId="1" applyNumberFormat="1" applyFont="1" applyFill="1" applyBorder="1" applyAlignment="1">
      <alignment horizontal="right" vertical="center"/>
    </xf>
    <xf numFmtId="41" fontId="12" fillId="0" borderId="0" xfId="1" applyFont="1" applyFill="1" applyBorder="1"/>
    <xf numFmtId="41" fontId="11" fillId="7" borderId="1" xfId="1" applyFont="1" applyFill="1" applyBorder="1" applyAlignment="1">
      <alignment horizontal="center" vertical="center" shrinkToFit="1"/>
    </xf>
    <xf numFmtId="41" fontId="11" fillId="5" borderId="1" xfId="1" applyFont="1" applyFill="1" applyBorder="1" applyAlignment="1">
      <alignment horizontal="center" vertical="center" shrinkToFit="1"/>
    </xf>
    <xf numFmtId="41" fontId="11" fillId="2" borderId="1" xfId="1" applyFont="1" applyFill="1" applyBorder="1" applyAlignment="1">
      <alignment horizontal="center" vertical="center" shrinkToFit="1"/>
    </xf>
    <xf numFmtId="41" fontId="4" fillId="0" borderId="0" xfId="2" applyFont="1" applyFill="1"/>
    <xf numFmtId="41" fontId="4" fillId="0" borderId="0" xfId="2" applyFont="1" applyFill="1" applyBorder="1"/>
    <xf numFmtId="41" fontId="1" fillId="0" borderId="0" xfId="2" applyFont="1" applyFill="1" applyBorder="1" applyAlignment="1">
      <alignment vertical="center"/>
    </xf>
    <xf numFmtId="41" fontId="10" fillId="0" borderId="0" xfId="2" applyFont="1" applyFill="1" applyBorder="1" applyAlignment="1">
      <alignment vertical="center"/>
    </xf>
    <xf numFmtId="41" fontId="10" fillId="0" borderId="2" xfId="2" applyFont="1" applyFill="1" applyBorder="1" applyAlignment="1">
      <alignment horizontal="center" vertical="center" shrinkToFit="1"/>
    </xf>
    <xf numFmtId="41" fontId="10" fillId="2" borderId="2" xfId="2" applyFont="1" applyFill="1" applyBorder="1" applyAlignment="1">
      <alignment horizontal="center" vertical="center" shrinkToFit="1"/>
    </xf>
    <xf numFmtId="41" fontId="10" fillId="0" borderId="1" xfId="2" applyFont="1" applyFill="1" applyBorder="1" applyAlignment="1">
      <alignment horizontal="center" vertical="center" shrinkToFit="1"/>
    </xf>
    <xf numFmtId="41" fontId="10" fillId="2" borderId="1" xfId="2" applyFont="1" applyFill="1" applyBorder="1" applyAlignment="1">
      <alignment horizontal="center" vertical="center" shrinkToFit="1"/>
    </xf>
    <xf numFmtId="41" fontId="1" fillId="4" borderId="0" xfId="2" applyFont="1" applyFill="1" applyBorder="1" applyAlignment="1">
      <alignment vertical="center"/>
    </xf>
    <xf numFmtId="41" fontId="10" fillId="4" borderId="0" xfId="2" applyFont="1" applyFill="1" applyBorder="1" applyAlignment="1">
      <alignment vertical="center"/>
    </xf>
    <xf numFmtId="41" fontId="6" fillId="0" borderId="0" xfId="2" applyFont="1" applyFill="1" applyBorder="1" applyAlignment="1">
      <alignment vertical="center"/>
    </xf>
    <xf numFmtId="41" fontId="11" fillId="0" borderId="0" xfId="2" applyFont="1" applyFill="1" applyBorder="1" applyAlignment="1">
      <alignment vertical="center"/>
    </xf>
    <xf numFmtId="41" fontId="11" fillId="2" borderId="1" xfId="2" applyFont="1" applyFill="1" applyBorder="1" applyAlignment="1">
      <alignment horizontal="center" vertical="center" shrinkToFit="1"/>
    </xf>
    <xf numFmtId="41" fontId="6" fillId="6" borderId="0" xfId="2" applyFont="1" applyFill="1" applyBorder="1" applyAlignment="1">
      <alignment vertical="center"/>
    </xf>
    <xf numFmtId="41" fontId="11" fillId="6" borderId="0" xfId="2" applyFont="1" applyFill="1" applyBorder="1" applyAlignment="1">
      <alignment vertical="center"/>
    </xf>
    <xf numFmtId="41" fontId="11" fillId="7" borderId="1" xfId="2" applyFont="1" applyFill="1" applyBorder="1" applyAlignment="1">
      <alignment horizontal="center" vertical="center" shrinkToFit="1"/>
    </xf>
    <xf numFmtId="49" fontId="1" fillId="0" borderId="0" xfId="2" applyNumberFormat="1" applyFont="1" applyFill="1" applyAlignment="1">
      <alignment vertical="top"/>
    </xf>
    <xf numFmtId="41" fontId="5" fillId="0" borderId="0" xfId="2" applyFont="1" applyFill="1" applyBorder="1" applyAlignment="1">
      <alignment horizontal="center"/>
    </xf>
    <xf numFmtId="41" fontId="7" fillId="0" borderId="0" xfId="2" applyFont="1" applyFill="1"/>
    <xf numFmtId="41" fontId="9" fillId="0" borderId="0" xfId="2" applyFont="1" applyFill="1"/>
    <xf numFmtId="49" fontId="1" fillId="0" borderId="27" xfId="1" applyNumberFormat="1" applyFont="1" applyFill="1" applyBorder="1" applyAlignment="1">
      <alignment horizontal="center" vertical="top"/>
    </xf>
    <xf numFmtId="49" fontId="1" fillId="0" borderId="27" xfId="1" applyNumberFormat="1" applyFont="1" applyFill="1" applyBorder="1" applyAlignment="1">
      <alignment horizontal="center" vertical="top" wrapText="1"/>
    </xf>
    <xf numFmtId="177" fontId="11" fillId="6" borderId="27" xfId="1" applyNumberFormat="1" applyFont="1" applyFill="1" applyBorder="1" applyAlignment="1">
      <alignment horizontal="right" vertical="center" wrapText="1"/>
    </xf>
    <xf numFmtId="176" fontId="11" fillId="2" borderId="27" xfId="1" applyNumberFormat="1" applyFont="1" applyFill="1" applyBorder="1" applyAlignment="1">
      <alignment horizontal="right" vertical="center" shrinkToFit="1"/>
    </xf>
    <xf numFmtId="176" fontId="10" fillId="0" borderId="27" xfId="1" applyNumberFormat="1" applyFont="1" applyFill="1" applyBorder="1" applyAlignment="1">
      <alignment horizontal="right" vertical="center"/>
    </xf>
    <xf numFmtId="176" fontId="10" fillId="4" borderId="27" xfId="1" applyNumberFormat="1" applyFont="1" applyFill="1" applyBorder="1" applyAlignment="1">
      <alignment horizontal="right" vertical="center"/>
    </xf>
    <xf numFmtId="176" fontId="11" fillId="5" borderId="27" xfId="1" applyNumberFormat="1" applyFont="1" applyFill="1" applyBorder="1" applyAlignment="1">
      <alignment horizontal="right" vertical="center"/>
    </xf>
    <xf numFmtId="176" fontId="10" fillId="0" borderId="28" xfId="1" applyNumberFormat="1" applyFont="1" applyFill="1" applyBorder="1" applyAlignment="1">
      <alignment horizontal="right" vertical="center"/>
    </xf>
    <xf numFmtId="41" fontId="11" fillId="7" borderId="22" xfId="1" applyFont="1" applyFill="1" applyBorder="1" applyAlignment="1">
      <alignment horizontal="center" vertical="center" shrinkToFit="1"/>
    </xf>
    <xf numFmtId="49" fontId="10" fillId="0" borderId="17" xfId="2" applyNumberFormat="1" applyFont="1" applyFill="1" applyBorder="1" applyAlignment="1">
      <alignment horizontal="center" vertical="center"/>
    </xf>
    <xf numFmtId="41" fontId="10" fillId="0" borderId="17" xfId="2" applyFont="1" applyFill="1" applyBorder="1" applyAlignment="1">
      <alignment horizontal="center" vertical="center"/>
    </xf>
    <xf numFmtId="49" fontId="10" fillId="0" borderId="1" xfId="2" applyNumberFormat="1" applyFont="1" applyFill="1" applyBorder="1" applyAlignment="1">
      <alignment horizontal="center" vertical="top" textRotation="255" wrapText="1"/>
    </xf>
    <xf numFmtId="49" fontId="10" fillId="0" borderId="1" xfId="2" applyNumberFormat="1" applyFont="1" applyFill="1" applyBorder="1" applyAlignment="1">
      <alignment vertical="top" wrapText="1"/>
    </xf>
    <xf numFmtId="49" fontId="10" fillId="0" borderId="9" xfId="2" applyNumberFormat="1" applyFont="1" applyFill="1" applyBorder="1" applyAlignment="1">
      <alignment horizontal="center" vertical="top" textRotation="255" wrapText="1"/>
    </xf>
    <xf numFmtId="49" fontId="10" fillId="0" borderId="9" xfId="2" applyNumberFormat="1" applyFont="1" applyFill="1" applyBorder="1" applyAlignment="1">
      <alignment vertical="top" wrapText="1"/>
    </xf>
    <xf numFmtId="49" fontId="10" fillId="0" borderId="13" xfId="2" applyNumberFormat="1" applyFont="1" applyFill="1" applyBorder="1" applyAlignment="1">
      <alignment horizontal="center" vertical="top" textRotation="255" wrapText="1"/>
    </xf>
    <xf numFmtId="49" fontId="10" fillId="0" borderId="9" xfId="2" applyNumberFormat="1" applyFont="1" applyFill="1" applyBorder="1" applyAlignment="1">
      <alignment horizontal="left" vertical="top" wrapText="1"/>
    </xf>
    <xf numFmtId="49" fontId="10" fillId="0" borderId="13" xfId="2" applyNumberFormat="1" applyFont="1" applyFill="1" applyBorder="1" applyAlignment="1">
      <alignment horizontal="center" vertical="top" wrapText="1"/>
    </xf>
    <xf numFmtId="49" fontId="10" fillId="0" borderId="29" xfId="2" applyNumberFormat="1" applyFont="1" applyFill="1" applyBorder="1" applyAlignment="1">
      <alignment horizontal="center" vertical="top" wrapText="1"/>
    </xf>
    <xf numFmtId="49" fontId="10" fillId="0" borderId="9" xfId="2" applyNumberFormat="1" applyFont="1" applyFill="1" applyBorder="1" applyAlignment="1">
      <alignment horizontal="center" vertical="top" wrapText="1"/>
    </xf>
    <xf numFmtId="49" fontId="10" fillId="0" borderId="22" xfId="2" applyNumberFormat="1" applyFont="1" applyFill="1" applyBorder="1" applyAlignment="1">
      <alignment horizontal="center" vertical="top" wrapText="1"/>
    </xf>
    <xf numFmtId="41" fontId="11" fillId="7" borderId="9" xfId="2" applyFont="1" applyFill="1" applyBorder="1" applyAlignment="1">
      <alignment horizontal="center" vertical="center" shrinkToFit="1"/>
    </xf>
    <xf numFmtId="41" fontId="11" fillId="7" borderId="13" xfId="2" applyFont="1" applyFill="1" applyBorder="1" applyAlignment="1">
      <alignment horizontal="center" vertical="center" shrinkToFit="1"/>
    </xf>
    <xf numFmtId="41" fontId="11" fillId="7" borderId="29" xfId="2" applyFont="1" applyFill="1" applyBorder="1" applyAlignment="1">
      <alignment horizontal="center" vertical="center" shrinkToFit="1"/>
    </xf>
    <xf numFmtId="41" fontId="11" fillId="7" borderId="22" xfId="2" applyFont="1" applyFill="1" applyBorder="1" applyAlignment="1">
      <alignment horizontal="center" vertical="center" shrinkToFit="1"/>
    </xf>
    <xf numFmtId="41" fontId="11" fillId="0" borderId="1" xfId="2" applyFont="1" applyFill="1" applyBorder="1" applyAlignment="1">
      <alignment horizontal="center" vertical="center"/>
    </xf>
    <xf numFmtId="41" fontId="11" fillId="2" borderId="9" xfId="2" applyFont="1" applyFill="1" applyBorder="1" applyAlignment="1">
      <alignment horizontal="center" vertical="center" shrinkToFit="1"/>
    </xf>
    <xf numFmtId="41" fontId="11" fillId="2" borderId="13" xfId="2" applyFont="1" applyFill="1" applyBorder="1" applyAlignment="1">
      <alignment horizontal="center" vertical="center" shrinkToFit="1"/>
    </xf>
    <xf numFmtId="41" fontId="11" fillId="2" borderId="29" xfId="2" applyFont="1" applyFill="1" applyBorder="1" applyAlignment="1">
      <alignment horizontal="center" vertical="center" shrinkToFit="1"/>
    </xf>
    <xf numFmtId="41" fontId="11" fillId="2" borderId="22" xfId="2" applyFont="1" applyFill="1" applyBorder="1" applyAlignment="1">
      <alignment horizontal="center" vertical="center" shrinkToFit="1"/>
    </xf>
    <xf numFmtId="41" fontId="10" fillId="0" borderId="1" xfId="1" applyFont="1" applyFill="1" applyBorder="1" applyAlignment="1">
      <alignment horizontal="center" vertical="center"/>
    </xf>
    <xf numFmtId="41" fontId="10" fillId="4" borderId="1" xfId="2" applyFont="1" applyFill="1" applyBorder="1" applyAlignment="1">
      <alignment horizontal="center" vertical="center" shrinkToFit="1"/>
    </xf>
    <xf numFmtId="41" fontId="10" fillId="4" borderId="9" xfId="2" applyFont="1" applyFill="1" applyBorder="1" applyAlignment="1">
      <alignment horizontal="center" vertical="center" shrinkToFit="1"/>
    </xf>
    <xf numFmtId="41" fontId="10" fillId="4" borderId="13" xfId="2" applyFont="1" applyFill="1" applyBorder="1" applyAlignment="1">
      <alignment horizontal="center" vertical="center" shrinkToFit="1"/>
    </xf>
    <xf numFmtId="41" fontId="10" fillId="4" borderId="29" xfId="2" applyFont="1" applyFill="1" applyBorder="1" applyAlignment="1">
      <alignment horizontal="center" vertical="center" shrinkToFit="1"/>
    </xf>
    <xf numFmtId="41" fontId="10" fillId="4" borderId="22" xfId="2" applyFont="1" applyFill="1" applyBorder="1" applyAlignment="1">
      <alignment horizontal="center" vertical="center" shrinkToFit="1"/>
    </xf>
    <xf numFmtId="41" fontId="10" fillId="0" borderId="1" xfId="2" applyFont="1" applyFill="1" applyBorder="1" applyAlignment="1">
      <alignment horizontal="center" vertical="center"/>
    </xf>
    <xf numFmtId="41" fontId="10" fillId="3" borderId="1" xfId="2" applyFont="1" applyFill="1" applyBorder="1" applyAlignment="1">
      <alignment horizontal="center" vertical="center" shrinkToFit="1"/>
    </xf>
    <xf numFmtId="41" fontId="10" fillId="0" borderId="9" xfId="2" applyFont="1" applyFill="1" applyBorder="1" applyAlignment="1">
      <alignment horizontal="center" vertical="center" shrinkToFit="1"/>
    </xf>
    <xf numFmtId="41" fontId="10" fillId="0" borderId="10" xfId="2" applyFont="1" applyFill="1" applyBorder="1" applyAlignment="1">
      <alignment horizontal="center" vertical="center" shrinkToFit="1"/>
    </xf>
    <xf numFmtId="41" fontId="10" fillId="0" borderId="13" xfId="2" applyFont="1" applyFill="1" applyBorder="1" applyAlignment="1">
      <alignment horizontal="center" vertical="center" shrinkToFit="1"/>
    </xf>
    <xf numFmtId="41" fontId="10" fillId="0" borderId="29" xfId="2" applyFont="1" applyFill="1" applyBorder="1" applyAlignment="1">
      <alignment horizontal="center" vertical="center" shrinkToFit="1"/>
    </xf>
    <xf numFmtId="41" fontId="13" fillId="0" borderId="9" xfId="2" applyFont="1" applyFill="1" applyBorder="1" applyAlignment="1">
      <alignment horizontal="center" vertical="center" shrinkToFit="1"/>
    </xf>
    <xf numFmtId="41" fontId="10" fillId="0" borderId="22" xfId="2" applyFont="1" applyFill="1" applyBorder="1" applyAlignment="1">
      <alignment horizontal="center" vertical="center" shrinkToFit="1"/>
    </xf>
    <xf numFmtId="41" fontId="13" fillId="0" borderId="29" xfId="2" applyFont="1" applyFill="1" applyBorder="1" applyAlignment="1">
      <alignment horizontal="center" vertical="center" shrinkToFit="1"/>
    </xf>
    <xf numFmtId="41" fontId="10" fillId="0" borderId="1" xfId="2" applyFont="1" applyFill="1" applyBorder="1" applyAlignment="1">
      <alignment horizontal="center" vertical="center" wrapText="1"/>
    </xf>
    <xf numFmtId="41" fontId="11" fillId="3" borderId="1" xfId="2" applyFont="1" applyFill="1" applyBorder="1" applyAlignment="1">
      <alignment horizontal="center" vertical="center" shrinkToFit="1"/>
    </xf>
    <xf numFmtId="41" fontId="11" fillId="3" borderId="9" xfId="2" applyFont="1" applyFill="1" applyBorder="1" applyAlignment="1">
      <alignment horizontal="center" vertical="center" shrinkToFit="1"/>
    </xf>
    <xf numFmtId="41" fontId="11" fillId="3" borderId="7" xfId="2" applyFont="1" applyFill="1" applyBorder="1" applyAlignment="1">
      <alignment horizontal="center" vertical="center" shrinkToFit="1"/>
    </xf>
    <xf numFmtId="41" fontId="11" fillId="3" borderId="13" xfId="2" applyFont="1" applyFill="1" applyBorder="1" applyAlignment="1">
      <alignment horizontal="center" vertical="center" shrinkToFit="1"/>
    </xf>
    <xf numFmtId="41" fontId="11" fillId="3" borderId="24" xfId="2" applyFont="1" applyFill="1" applyBorder="1" applyAlignment="1">
      <alignment horizontal="center" vertical="center" shrinkToFit="1"/>
    </xf>
    <xf numFmtId="41" fontId="11" fillId="3" borderId="29" xfId="2" applyFont="1" applyFill="1" applyBorder="1" applyAlignment="1">
      <alignment horizontal="center" vertical="center" shrinkToFit="1"/>
    </xf>
    <xf numFmtId="41" fontId="11" fillId="3" borderId="22" xfId="2" applyFont="1" applyFill="1" applyBorder="1" applyAlignment="1">
      <alignment horizontal="center" vertical="center" shrinkToFit="1"/>
    </xf>
    <xf numFmtId="41" fontId="10" fillId="0" borderId="8" xfId="2" applyFont="1" applyFill="1" applyBorder="1" applyAlignment="1">
      <alignment horizontal="center" vertical="center" shrinkToFit="1"/>
    </xf>
    <xf numFmtId="41" fontId="10" fillId="0" borderId="2" xfId="2" applyFont="1" applyFill="1" applyBorder="1" applyAlignment="1">
      <alignment horizontal="center" vertical="center"/>
    </xf>
    <xf numFmtId="41" fontId="10" fillId="0" borderId="11" xfId="2" applyFont="1" applyFill="1" applyBorder="1" applyAlignment="1">
      <alignment horizontal="center" vertical="center" shrinkToFit="1"/>
    </xf>
    <xf numFmtId="41" fontId="10" fillId="0" borderId="12" xfId="2" applyFont="1" applyFill="1" applyBorder="1" applyAlignment="1">
      <alignment horizontal="center" vertical="center" shrinkToFit="1"/>
    </xf>
    <xf numFmtId="41" fontId="10" fillId="0" borderId="14" xfId="2" applyFont="1" applyFill="1" applyBorder="1" applyAlignment="1">
      <alignment horizontal="center" vertical="center" shrinkToFit="1"/>
    </xf>
    <xf numFmtId="41" fontId="10" fillId="0" borderId="25" xfId="2" applyFont="1" applyFill="1" applyBorder="1" applyAlignment="1">
      <alignment horizontal="center" vertical="center" shrinkToFit="1"/>
    </xf>
    <xf numFmtId="41" fontId="10" fillId="0" borderId="23" xfId="2" applyFont="1" applyFill="1" applyBorder="1" applyAlignment="1">
      <alignment horizontal="center" vertical="center" shrinkToFit="1"/>
    </xf>
    <xf numFmtId="41" fontId="10" fillId="0" borderId="17" xfId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vertical="top" wrapText="1"/>
    </xf>
    <xf numFmtId="49" fontId="10" fillId="0" borderId="9" xfId="1" applyNumberFormat="1" applyFont="1" applyFill="1" applyBorder="1" applyAlignment="1">
      <alignment horizontal="center" vertical="top" textRotation="255" wrapText="1"/>
    </xf>
    <xf numFmtId="49" fontId="10" fillId="0" borderId="13" xfId="1" applyNumberFormat="1" applyFont="1" applyFill="1" applyBorder="1" applyAlignment="1">
      <alignment vertical="top" wrapText="1"/>
    </xf>
    <xf numFmtId="49" fontId="10" fillId="0" borderId="13" xfId="1" applyNumberFormat="1" applyFont="1" applyFill="1" applyBorder="1" applyAlignment="1">
      <alignment horizontal="center" vertical="top" textRotation="255" wrapText="1"/>
    </xf>
    <xf numFmtId="49" fontId="10" fillId="0" borderId="24" xfId="1" applyNumberFormat="1" applyFont="1" applyFill="1" applyBorder="1" applyAlignment="1">
      <alignment horizontal="center" vertical="top" textRotation="255" wrapText="1"/>
    </xf>
    <xf numFmtId="49" fontId="10" fillId="0" borderId="9" xfId="1" applyNumberFormat="1" applyFont="1" applyFill="1" applyBorder="1" applyAlignment="1">
      <alignment horizontal="left" vertical="top" wrapText="1"/>
    </xf>
    <xf numFmtId="49" fontId="10" fillId="0" borderId="29" xfId="1" applyNumberFormat="1" applyFont="1" applyFill="1" applyBorder="1" applyAlignment="1">
      <alignment horizontal="center" vertical="top" wrapText="1"/>
    </xf>
    <xf numFmtId="49" fontId="10" fillId="0" borderId="13" xfId="1" applyNumberFormat="1" applyFont="1" applyFill="1" applyBorder="1" applyAlignment="1">
      <alignment horizontal="center" vertical="top" wrapText="1"/>
    </xf>
    <xf numFmtId="49" fontId="10" fillId="0" borderId="9" xfId="1" applyNumberFormat="1" applyFont="1" applyFill="1" applyBorder="1" applyAlignment="1">
      <alignment horizontal="center" vertical="top" wrapText="1"/>
    </xf>
    <xf numFmtId="49" fontId="10" fillId="0" borderId="22" xfId="1" applyNumberFormat="1" applyFont="1" applyFill="1" applyBorder="1" applyAlignment="1">
      <alignment horizontal="center" vertical="top" wrapText="1"/>
    </xf>
    <xf numFmtId="41" fontId="11" fillId="7" borderId="9" xfId="1" applyFont="1" applyFill="1" applyBorder="1" applyAlignment="1">
      <alignment horizontal="center" vertical="center" shrinkToFit="1"/>
    </xf>
    <xf numFmtId="41" fontId="11" fillId="7" borderId="13" xfId="1" applyFont="1" applyFill="1" applyBorder="1" applyAlignment="1">
      <alignment horizontal="center" vertical="center" shrinkToFit="1"/>
    </xf>
    <xf numFmtId="41" fontId="11" fillId="7" borderId="29" xfId="1" applyFont="1" applyFill="1" applyBorder="1" applyAlignment="1">
      <alignment horizontal="center" vertical="center" shrinkToFit="1"/>
    </xf>
    <xf numFmtId="41" fontId="11" fillId="2" borderId="9" xfId="1" applyFont="1" applyFill="1" applyBorder="1" applyAlignment="1">
      <alignment horizontal="center" vertical="center" shrinkToFit="1"/>
    </xf>
    <xf numFmtId="41" fontId="11" fillId="2" borderId="13" xfId="1" applyFont="1" applyFill="1" applyBorder="1" applyAlignment="1">
      <alignment horizontal="center" vertical="center" shrinkToFit="1"/>
    </xf>
    <xf numFmtId="41" fontId="11" fillId="2" borderId="29" xfId="1" applyFont="1" applyFill="1" applyBorder="1" applyAlignment="1">
      <alignment horizontal="center" vertical="center" shrinkToFit="1"/>
    </xf>
    <xf numFmtId="41" fontId="11" fillId="2" borderId="24" xfId="1" applyFont="1" applyFill="1" applyBorder="1" applyAlignment="1">
      <alignment horizontal="center" vertical="center" shrinkToFit="1"/>
    </xf>
    <xf numFmtId="41" fontId="11" fillId="2" borderId="22" xfId="1" applyFont="1" applyFill="1" applyBorder="1" applyAlignment="1">
      <alignment horizontal="center" vertical="center" shrinkToFit="1"/>
    </xf>
    <xf numFmtId="41" fontId="10" fillId="5" borderId="1" xfId="1" applyFont="1" applyFill="1" applyBorder="1" applyAlignment="1">
      <alignment horizontal="center" vertical="center" shrinkToFit="1"/>
    </xf>
    <xf numFmtId="41" fontId="10" fillId="4" borderId="1" xfId="1" applyFont="1" applyFill="1" applyBorder="1" applyAlignment="1">
      <alignment horizontal="center" vertical="center" shrinkToFit="1"/>
    </xf>
    <xf numFmtId="41" fontId="10" fillId="4" borderId="9" xfId="1" applyFont="1" applyFill="1" applyBorder="1" applyAlignment="1">
      <alignment horizontal="center" vertical="center" shrinkToFit="1"/>
    </xf>
    <xf numFmtId="41" fontId="10" fillId="4" borderId="13" xfId="1" applyFont="1" applyFill="1" applyBorder="1" applyAlignment="1">
      <alignment horizontal="center" vertical="center" shrinkToFit="1"/>
    </xf>
    <xf numFmtId="41" fontId="10" fillId="4" borderId="24" xfId="1" applyFont="1" applyFill="1" applyBorder="1" applyAlignment="1">
      <alignment horizontal="center" vertical="center" shrinkToFit="1"/>
    </xf>
    <xf numFmtId="41" fontId="10" fillId="4" borderId="22" xfId="1" applyFont="1" applyFill="1" applyBorder="1" applyAlignment="1">
      <alignment horizontal="center" vertical="center" shrinkToFit="1"/>
    </xf>
    <xf numFmtId="41" fontId="10" fillId="0" borderId="1" xfId="1" applyFont="1" applyFill="1" applyBorder="1" applyAlignment="1">
      <alignment horizontal="center" vertical="center" shrinkToFit="1"/>
    </xf>
    <xf numFmtId="41" fontId="10" fillId="0" borderId="9" xfId="1" applyFont="1" applyFill="1" applyBorder="1" applyAlignment="1">
      <alignment horizontal="center" vertical="center" shrinkToFit="1"/>
    </xf>
    <xf numFmtId="41" fontId="10" fillId="0" borderId="13" xfId="1" applyFont="1" applyFill="1" applyBorder="1" applyAlignment="1">
      <alignment horizontal="center" vertical="center" shrinkToFit="1"/>
    </xf>
    <xf numFmtId="41" fontId="10" fillId="0" borderId="24" xfId="1" applyFont="1" applyFill="1" applyBorder="1" applyAlignment="1">
      <alignment horizontal="center" vertical="center" shrinkToFit="1"/>
    </xf>
    <xf numFmtId="41" fontId="10" fillId="0" borderId="22" xfId="1" applyFont="1" applyFill="1" applyBorder="1" applyAlignment="1">
      <alignment horizontal="center" vertical="center" shrinkToFit="1"/>
    </xf>
    <xf numFmtId="41" fontId="10" fillId="4" borderId="1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 shrinkToFit="1"/>
    </xf>
    <xf numFmtId="41" fontId="11" fillId="3" borderId="9" xfId="1" applyFont="1" applyFill="1" applyBorder="1" applyAlignment="1">
      <alignment horizontal="center" vertical="center" shrinkToFit="1"/>
    </xf>
    <xf numFmtId="41" fontId="11" fillId="3" borderId="13" xfId="1" applyFont="1" applyFill="1" applyBorder="1" applyAlignment="1">
      <alignment horizontal="center" vertical="center" shrinkToFit="1"/>
    </xf>
    <xf numFmtId="41" fontId="11" fillId="3" borderId="22" xfId="1" applyFont="1" applyFill="1" applyBorder="1" applyAlignment="1">
      <alignment horizontal="center" vertical="center" shrinkToFit="1"/>
    </xf>
    <xf numFmtId="41" fontId="10" fillId="0" borderId="2" xfId="1" applyFont="1" applyFill="1" applyBorder="1" applyAlignment="1">
      <alignment horizontal="center" vertical="center"/>
    </xf>
    <xf numFmtId="41" fontId="10" fillId="5" borderId="2" xfId="1" applyFont="1" applyFill="1" applyBorder="1" applyAlignment="1">
      <alignment horizontal="center" vertical="center" shrinkToFit="1"/>
    </xf>
    <xf numFmtId="41" fontId="10" fillId="0" borderId="2" xfId="1" applyFont="1" applyFill="1" applyBorder="1" applyAlignment="1">
      <alignment horizontal="center" vertical="center" shrinkToFit="1"/>
    </xf>
    <xf numFmtId="41" fontId="10" fillId="0" borderId="11" xfId="1" applyFont="1" applyFill="1" applyBorder="1" applyAlignment="1">
      <alignment horizontal="center" vertical="center" shrinkToFit="1"/>
    </xf>
    <xf numFmtId="41" fontId="10" fillId="0" borderId="14" xfId="1" applyFont="1" applyFill="1" applyBorder="1" applyAlignment="1">
      <alignment horizontal="center" vertical="center" shrinkToFit="1"/>
    </xf>
    <xf numFmtId="41" fontId="10" fillId="0" borderId="26" xfId="1" applyFont="1" applyFill="1" applyBorder="1" applyAlignment="1">
      <alignment horizontal="center" vertical="center" shrinkToFit="1"/>
    </xf>
    <xf numFmtId="41" fontId="10" fillId="0" borderId="23" xfId="1" applyFont="1" applyFill="1" applyBorder="1" applyAlignment="1">
      <alignment horizontal="center" vertical="center" shrinkToFit="1"/>
    </xf>
    <xf numFmtId="41" fontId="10" fillId="4" borderId="24" xfId="2" applyFont="1" applyFill="1" applyBorder="1" applyAlignment="1">
      <alignment horizontal="center" vertical="center" shrinkToFit="1"/>
    </xf>
    <xf numFmtId="41" fontId="10" fillId="0" borderId="24" xfId="2" applyFont="1" applyFill="1" applyBorder="1" applyAlignment="1">
      <alignment horizontal="center" vertical="center" shrinkToFit="1"/>
    </xf>
    <xf numFmtId="41" fontId="10" fillId="4" borderId="31" xfId="2" applyFont="1" applyFill="1" applyBorder="1" applyAlignment="1">
      <alignment horizontal="center" vertical="center" shrinkToFit="1"/>
    </xf>
    <xf numFmtId="41" fontId="10" fillId="0" borderId="31" xfId="2" applyFont="1" applyFill="1" applyBorder="1" applyAlignment="1">
      <alignment horizontal="center" vertical="center" shrinkToFit="1"/>
    </xf>
    <xf numFmtId="41" fontId="10" fillId="0" borderId="32" xfId="2" applyFont="1" applyFill="1" applyBorder="1" applyAlignment="1">
      <alignment horizontal="center" vertical="center" shrinkToFit="1"/>
    </xf>
    <xf numFmtId="49" fontId="10" fillId="0" borderId="17" xfId="1" applyNumberFormat="1" applyFont="1" applyFill="1" applyBorder="1" applyAlignment="1">
      <alignment horizontal="center" vertical="center"/>
    </xf>
    <xf numFmtId="41" fontId="16" fillId="0" borderId="0" xfId="1" applyFont="1" applyFill="1" applyBorder="1"/>
    <xf numFmtId="41" fontId="13" fillId="0" borderId="0" xfId="1" applyFont="1" applyFill="1" applyBorder="1"/>
    <xf numFmtId="41" fontId="18" fillId="0" borderId="0" xfId="1" applyFont="1" applyFill="1" applyBorder="1" applyAlignment="1">
      <alignment horizontal="center"/>
    </xf>
    <xf numFmtId="49" fontId="10" fillId="0" borderId="31" xfId="1" applyNumberFormat="1" applyFont="1" applyFill="1" applyBorder="1" applyAlignment="1">
      <alignment horizontal="center" vertical="top" textRotation="255" wrapText="1"/>
    </xf>
    <xf numFmtId="49" fontId="14" fillId="0" borderId="10" xfId="2" applyNumberFormat="1" applyFont="1" applyFill="1" applyBorder="1" applyAlignment="1">
      <alignment horizontal="center" vertical="top" textRotation="255" wrapText="1"/>
    </xf>
    <xf numFmtId="41" fontId="19" fillId="7" borderId="10" xfId="2" applyFont="1" applyFill="1" applyBorder="1" applyAlignment="1">
      <alignment horizontal="center" vertical="center" shrinkToFit="1"/>
    </xf>
    <xf numFmtId="41" fontId="19" fillId="2" borderId="10" xfId="2" applyFont="1" applyFill="1" applyBorder="1" applyAlignment="1">
      <alignment horizontal="center" vertical="center" shrinkToFit="1"/>
    </xf>
    <xf numFmtId="41" fontId="14" fillId="4" borderId="10" xfId="2" applyFont="1" applyFill="1" applyBorder="1" applyAlignment="1">
      <alignment horizontal="center" vertical="center" shrinkToFit="1"/>
    </xf>
    <xf numFmtId="41" fontId="14" fillId="0" borderId="10" xfId="2" applyFont="1" applyFill="1" applyBorder="1" applyAlignment="1">
      <alignment horizontal="center" vertical="center" shrinkToFit="1"/>
    </xf>
    <xf numFmtId="49" fontId="10" fillId="0" borderId="31" xfId="2" applyNumberFormat="1" applyFont="1" applyFill="1" applyBorder="1" applyAlignment="1">
      <alignment horizontal="center" vertical="top" wrapText="1"/>
    </xf>
    <xf numFmtId="41" fontId="10" fillId="4" borderId="8" xfId="2" applyFont="1" applyFill="1" applyBorder="1" applyAlignment="1">
      <alignment horizontal="center" vertical="center" shrinkToFit="1"/>
    </xf>
    <xf numFmtId="49" fontId="10" fillId="0" borderId="13" xfId="2" applyNumberFormat="1" applyFont="1" applyFill="1" applyBorder="1" applyAlignment="1">
      <alignment vertical="top" wrapText="1"/>
    </xf>
    <xf numFmtId="49" fontId="14" fillId="0" borderId="10" xfId="2" applyNumberFormat="1" applyFont="1" applyFill="1" applyBorder="1" applyAlignment="1">
      <alignment horizontal="center" vertical="top" wrapText="1"/>
    </xf>
    <xf numFmtId="49" fontId="14" fillId="0" borderId="24" xfId="1" applyNumberFormat="1" applyFont="1" applyFill="1" applyBorder="1" applyAlignment="1">
      <alignment horizontal="center" vertical="top" textRotation="255" wrapText="1"/>
    </xf>
    <xf numFmtId="41" fontId="19" fillId="7" borderId="13" xfId="1" applyFont="1" applyFill="1" applyBorder="1" applyAlignment="1">
      <alignment horizontal="center" vertical="center" shrinkToFit="1"/>
    </xf>
    <xf numFmtId="41" fontId="19" fillId="2" borderId="13" xfId="1" applyFont="1" applyFill="1" applyBorder="1" applyAlignment="1">
      <alignment horizontal="center" vertical="center" shrinkToFit="1"/>
    </xf>
    <xf numFmtId="41" fontId="14" fillId="4" borderId="24" xfId="1" applyFont="1" applyFill="1" applyBorder="1" applyAlignment="1">
      <alignment horizontal="center" vertical="center" shrinkToFit="1"/>
    </xf>
    <xf numFmtId="41" fontId="14" fillId="0" borderId="24" xfId="1" applyFont="1" applyFill="1" applyBorder="1" applyAlignment="1">
      <alignment horizontal="center" vertical="center" shrinkToFit="1"/>
    </xf>
    <xf numFmtId="49" fontId="10" fillId="0" borderId="31" xfId="1" applyNumberFormat="1" applyFont="1" applyFill="1" applyBorder="1" applyAlignment="1">
      <alignment horizontal="center" vertical="top" wrapText="1"/>
    </xf>
    <xf numFmtId="49" fontId="14" fillId="0" borderId="10" xfId="1" applyNumberFormat="1" applyFont="1" applyFill="1" applyBorder="1" applyAlignment="1">
      <alignment horizontal="center" vertical="top" wrapText="1"/>
    </xf>
    <xf numFmtId="41" fontId="19" fillId="7" borderId="10" xfId="1" applyFont="1" applyFill="1" applyBorder="1" applyAlignment="1">
      <alignment horizontal="center" vertical="center" shrinkToFit="1"/>
    </xf>
    <xf numFmtId="41" fontId="19" fillId="2" borderId="10" xfId="1" applyFont="1" applyFill="1" applyBorder="1" applyAlignment="1">
      <alignment horizontal="center" vertical="center" shrinkToFit="1"/>
    </xf>
    <xf numFmtId="41" fontId="14" fillId="4" borderId="10" xfId="1" applyFont="1" applyFill="1" applyBorder="1" applyAlignment="1">
      <alignment horizontal="center" vertical="center" shrinkToFit="1"/>
    </xf>
    <xf numFmtId="41" fontId="14" fillId="0" borderId="10" xfId="1" applyFont="1" applyFill="1" applyBorder="1" applyAlignment="1">
      <alignment horizontal="center" vertical="center" shrinkToFit="1"/>
    </xf>
    <xf numFmtId="41" fontId="11" fillId="7" borderId="24" xfId="2" applyFont="1" applyFill="1" applyBorder="1" applyAlignment="1">
      <alignment horizontal="center" vertical="center" shrinkToFit="1"/>
    </xf>
    <xf numFmtId="41" fontId="11" fillId="2" borderId="24" xfId="2" applyFont="1" applyFill="1" applyBorder="1" applyAlignment="1">
      <alignment horizontal="center" vertical="center" shrinkToFit="1"/>
    </xf>
    <xf numFmtId="41" fontId="11" fillId="6" borderId="3" xfId="2" applyFont="1" applyFill="1" applyBorder="1" applyAlignment="1">
      <alignment horizontal="center" vertical="center"/>
    </xf>
    <xf numFmtId="41" fontId="11" fillId="6" borderId="1" xfId="2" applyFont="1" applyFill="1" applyBorder="1" applyAlignment="1">
      <alignment horizontal="center" vertical="center"/>
    </xf>
    <xf numFmtId="41" fontId="10" fillId="0" borderId="3" xfId="2" applyFont="1" applyFill="1" applyBorder="1" applyAlignment="1">
      <alignment horizontal="center" vertical="center" wrapText="1"/>
    </xf>
    <xf numFmtId="41" fontId="10" fillId="0" borderId="4" xfId="2" applyFont="1" applyFill="1" applyBorder="1" applyAlignment="1">
      <alignment horizontal="center" vertical="center" wrapText="1"/>
    </xf>
    <xf numFmtId="0" fontId="8" fillId="0" borderId="0" xfId="2" applyNumberFormat="1" applyFont="1" applyFill="1" applyAlignment="1">
      <alignment horizontal="center" vertical="center"/>
    </xf>
    <xf numFmtId="49" fontId="10" fillId="0" borderId="15" xfId="2" applyNumberFormat="1" applyFont="1" applyFill="1" applyBorder="1" applyAlignment="1">
      <alignment vertical="top"/>
    </xf>
    <xf numFmtId="49" fontId="10" fillId="0" borderId="16" xfId="2" applyNumberFormat="1" applyFont="1" applyFill="1" applyBorder="1" applyAlignment="1">
      <alignment vertical="top"/>
    </xf>
    <xf numFmtId="49" fontId="10" fillId="0" borderId="5" xfId="2" applyNumberFormat="1" applyFont="1" applyFill="1" applyBorder="1" applyAlignment="1">
      <alignment vertical="top"/>
    </xf>
    <xf numFmtId="49" fontId="10" fillId="0" borderId="6" xfId="2" applyNumberFormat="1" applyFont="1" applyFill="1" applyBorder="1" applyAlignment="1">
      <alignment vertical="top"/>
    </xf>
    <xf numFmtId="49" fontId="10" fillId="0" borderId="17" xfId="2" applyNumberFormat="1" applyFont="1" applyFill="1" applyBorder="1" applyAlignment="1">
      <alignment horizontal="center" vertical="center" wrapText="1"/>
    </xf>
    <xf numFmtId="49" fontId="10" fillId="0" borderId="1" xfId="2" applyNumberFormat="1" applyFont="1" applyFill="1" applyBorder="1" applyAlignment="1">
      <alignment horizontal="center" vertical="center" wrapText="1"/>
    </xf>
    <xf numFmtId="49" fontId="10" fillId="0" borderId="17" xfId="2" applyNumberFormat="1" applyFont="1" applyFill="1" applyBorder="1" applyAlignment="1">
      <alignment horizontal="center" vertical="top" wrapText="1"/>
    </xf>
    <xf numFmtId="49" fontId="10" fillId="0" borderId="1" xfId="2" applyNumberFormat="1" applyFont="1" applyFill="1" applyBorder="1" applyAlignment="1">
      <alignment horizontal="center" vertical="top"/>
    </xf>
    <xf numFmtId="49" fontId="10" fillId="0" borderId="17" xfId="2" applyNumberFormat="1" applyFont="1" applyFill="1" applyBorder="1" applyAlignment="1">
      <alignment horizontal="center" vertical="center"/>
    </xf>
    <xf numFmtId="41" fontId="10" fillId="0" borderId="18" xfId="2" applyFont="1" applyFill="1" applyBorder="1" applyAlignment="1">
      <alignment horizontal="center" vertical="center"/>
    </xf>
    <xf numFmtId="41" fontId="10" fillId="0" borderId="19" xfId="2" applyFont="1" applyFill="1" applyBorder="1" applyAlignment="1">
      <alignment horizontal="center" vertical="center"/>
    </xf>
    <xf numFmtId="49" fontId="10" fillId="0" borderId="18" xfId="2" applyNumberFormat="1" applyFont="1" applyFill="1" applyBorder="1" applyAlignment="1">
      <alignment horizontal="center" vertical="center"/>
    </xf>
    <xf numFmtId="49" fontId="10" fillId="0" borderId="19" xfId="2" applyNumberFormat="1" applyFont="1" applyFill="1" applyBorder="1" applyAlignment="1">
      <alignment horizontal="center" vertical="center"/>
    </xf>
    <xf numFmtId="49" fontId="10" fillId="0" borderId="20" xfId="2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7" fillId="0" borderId="0" xfId="1" applyNumberFormat="1" applyFont="1" applyFill="1" applyBorder="1" applyAlignment="1">
      <alignment horizontal="center" vertical="center"/>
    </xf>
    <xf numFmtId="41" fontId="10" fillId="0" borderId="3" xfId="1" applyFont="1" applyFill="1" applyBorder="1" applyAlignment="1">
      <alignment horizontal="center" vertical="center" wrapText="1"/>
    </xf>
    <xf numFmtId="41" fontId="10" fillId="0" borderId="4" xfId="1" applyFont="1" applyFill="1" applyBorder="1" applyAlignment="1">
      <alignment horizontal="center" vertical="center" wrapText="1"/>
    </xf>
    <xf numFmtId="41" fontId="10" fillId="0" borderId="18" xfId="1" applyFont="1" applyFill="1" applyBorder="1" applyAlignment="1">
      <alignment horizontal="center" vertical="center"/>
    </xf>
    <xf numFmtId="41" fontId="10" fillId="0" borderId="19" xfId="1" applyFont="1" applyFill="1" applyBorder="1" applyAlignment="1">
      <alignment horizontal="center" vertical="center"/>
    </xf>
    <xf numFmtId="41" fontId="11" fillId="6" borderId="3" xfId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/>
    </xf>
    <xf numFmtId="49" fontId="10" fillId="0" borderId="15" xfId="1" applyNumberFormat="1" applyFont="1" applyFill="1" applyBorder="1" applyAlignment="1">
      <alignment vertical="top"/>
    </xf>
    <xf numFmtId="49" fontId="10" fillId="0" borderId="16" xfId="1" applyNumberFormat="1" applyFont="1" applyFill="1" applyBorder="1" applyAlignment="1">
      <alignment vertical="top"/>
    </xf>
    <xf numFmtId="49" fontId="10" fillId="0" borderId="5" xfId="1" applyNumberFormat="1" applyFont="1" applyFill="1" applyBorder="1" applyAlignment="1">
      <alignment vertical="top"/>
    </xf>
    <xf numFmtId="49" fontId="10" fillId="0" borderId="6" xfId="1" applyNumberFormat="1" applyFont="1" applyFill="1" applyBorder="1" applyAlignment="1">
      <alignment vertical="top"/>
    </xf>
    <xf numFmtId="49" fontId="10" fillId="0" borderId="17" xfId="1" applyNumberFormat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 wrapText="1"/>
    </xf>
    <xf numFmtId="49" fontId="10" fillId="0" borderId="17" xfId="1" applyNumberFormat="1" applyFont="1" applyFill="1" applyBorder="1" applyAlignment="1">
      <alignment horizontal="center" vertical="top" wrapText="1"/>
    </xf>
    <xf numFmtId="49" fontId="10" fillId="0" borderId="1" xfId="1" applyNumberFormat="1" applyFont="1" applyFill="1" applyBorder="1" applyAlignment="1">
      <alignment horizontal="center" vertical="top"/>
    </xf>
    <xf numFmtId="49" fontId="10" fillId="0" borderId="17" xfId="1" applyNumberFormat="1" applyFont="1" applyFill="1" applyBorder="1" applyAlignment="1">
      <alignment horizontal="center" vertical="center"/>
    </xf>
    <xf numFmtId="49" fontId="10" fillId="0" borderId="18" xfId="1" applyNumberFormat="1" applyFont="1" applyFill="1" applyBorder="1" applyAlignment="1">
      <alignment horizontal="center" vertical="center"/>
    </xf>
    <xf numFmtId="49" fontId="10" fillId="0" borderId="19" xfId="1" applyNumberFormat="1" applyFont="1" applyFill="1" applyBorder="1" applyAlignment="1">
      <alignment horizontal="center" vertical="center"/>
    </xf>
    <xf numFmtId="49" fontId="10" fillId="0" borderId="20" xfId="1" applyNumberFormat="1" applyFont="1" applyFill="1" applyBorder="1" applyAlignment="1">
      <alignment horizontal="center" vertical="center"/>
    </xf>
    <xf numFmtId="49" fontId="10" fillId="0" borderId="10" xfId="2" applyNumberFormat="1" applyFont="1" applyFill="1" applyBorder="1" applyAlignment="1">
      <alignment horizontal="center" vertical="top" textRotation="255" wrapText="1"/>
    </xf>
    <xf numFmtId="41" fontId="11" fillId="7" borderId="10" xfId="2" applyFont="1" applyFill="1" applyBorder="1" applyAlignment="1">
      <alignment horizontal="center" vertical="center" shrinkToFit="1"/>
    </xf>
    <xf numFmtId="41" fontId="11" fillId="2" borderId="10" xfId="2" applyFont="1" applyFill="1" applyBorder="1" applyAlignment="1">
      <alignment horizontal="center" vertical="center" shrinkToFit="1"/>
    </xf>
    <xf numFmtId="41" fontId="10" fillId="4" borderId="10" xfId="2" applyFont="1" applyFill="1" applyBorder="1" applyAlignment="1">
      <alignment horizontal="center" vertical="center" shrinkToFit="1"/>
    </xf>
    <xf numFmtId="41" fontId="11" fillId="3" borderId="10" xfId="2" applyFont="1" applyFill="1" applyBorder="1" applyAlignment="1">
      <alignment horizontal="center" vertical="center" shrinkToFit="1"/>
    </xf>
    <xf numFmtId="49" fontId="1" fillId="0" borderId="29" xfId="1" applyNumberFormat="1" applyFont="1" applyFill="1" applyBorder="1" applyAlignment="1">
      <alignment horizontal="center" vertical="top" textRotation="255" wrapText="1"/>
    </xf>
    <xf numFmtId="49" fontId="1" fillId="0" borderId="9" xfId="1" applyNumberFormat="1" applyFont="1" applyFill="1" applyBorder="1" applyAlignment="1">
      <alignment vertical="top" wrapText="1"/>
    </xf>
    <xf numFmtId="49" fontId="1" fillId="0" borderId="13" xfId="1" applyNumberFormat="1" applyFont="1" applyFill="1" applyBorder="1" applyAlignment="1">
      <alignment horizontal="center" vertical="top" textRotation="255" wrapText="1"/>
    </xf>
    <xf numFmtId="41" fontId="6" fillId="7" borderId="29" xfId="1" applyFont="1" applyFill="1" applyBorder="1" applyAlignment="1">
      <alignment horizontal="center" vertical="center" shrinkToFit="1"/>
    </xf>
    <xf numFmtId="41" fontId="6" fillId="7" borderId="9" xfId="1" applyFont="1" applyFill="1" applyBorder="1" applyAlignment="1">
      <alignment horizontal="center" vertical="center" shrinkToFit="1"/>
    </xf>
    <xf numFmtId="41" fontId="6" fillId="7" borderId="13" xfId="1" applyFont="1" applyFill="1" applyBorder="1" applyAlignment="1">
      <alignment horizontal="center" vertical="center" shrinkToFit="1"/>
    </xf>
    <xf numFmtId="41" fontId="6" fillId="2" borderId="29" xfId="1" applyFont="1" applyFill="1" applyBorder="1" applyAlignment="1">
      <alignment horizontal="center" vertical="center" shrinkToFit="1"/>
    </xf>
    <xf numFmtId="41" fontId="6" fillId="2" borderId="9" xfId="1" applyFont="1" applyFill="1" applyBorder="1" applyAlignment="1">
      <alignment horizontal="center" vertical="center" shrinkToFit="1"/>
    </xf>
    <xf numFmtId="41" fontId="6" fillId="2" borderId="13" xfId="1" applyFont="1" applyFill="1" applyBorder="1" applyAlignment="1">
      <alignment horizontal="center" vertical="center" shrinkToFit="1"/>
    </xf>
    <xf numFmtId="41" fontId="1" fillId="4" borderId="29" xfId="1" applyFont="1" applyFill="1" applyBorder="1" applyAlignment="1">
      <alignment horizontal="center" vertical="center" shrinkToFit="1"/>
    </xf>
    <xf numFmtId="41" fontId="1" fillId="4" borderId="9" xfId="1" applyFont="1" applyFill="1" applyBorder="1" applyAlignment="1">
      <alignment horizontal="center" vertical="center" shrinkToFit="1"/>
    </xf>
    <xf numFmtId="41" fontId="1" fillId="4" borderId="13" xfId="1" applyFont="1" applyFill="1" applyBorder="1" applyAlignment="1">
      <alignment horizontal="center" vertical="center" shrinkToFit="1"/>
    </xf>
    <xf numFmtId="41" fontId="1" fillId="0" borderId="29" xfId="1" applyFont="1" applyFill="1" applyBorder="1" applyAlignment="1">
      <alignment horizontal="center" vertical="center" shrinkToFit="1"/>
    </xf>
    <xf numFmtId="41" fontId="1" fillId="0" borderId="9" xfId="1" applyFont="1" applyFill="1" applyBorder="1" applyAlignment="1">
      <alignment horizontal="center" vertical="center" shrinkToFit="1"/>
    </xf>
    <xf numFmtId="41" fontId="1" fillId="0" borderId="13" xfId="1" applyFont="1" applyFill="1" applyBorder="1" applyAlignment="1">
      <alignment horizontal="center" vertical="center" shrinkToFit="1"/>
    </xf>
    <xf numFmtId="41" fontId="6" fillId="3" borderId="29" xfId="1" applyFont="1" applyFill="1" applyBorder="1" applyAlignment="1">
      <alignment horizontal="center" vertical="center" shrinkToFit="1"/>
    </xf>
    <xf numFmtId="41" fontId="6" fillId="3" borderId="7" xfId="1" applyFont="1" applyFill="1" applyBorder="1" applyAlignment="1">
      <alignment horizontal="center" vertical="center" shrinkToFit="1"/>
    </xf>
    <xf numFmtId="41" fontId="6" fillId="3" borderId="13" xfId="1" applyFont="1" applyFill="1" applyBorder="1" applyAlignment="1">
      <alignment horizontal="center" vertical="center" shrinkToFit="1"/>
    </xf>
    <xf numFmtId="41" fontId="6" fillId="3" borderId="24" xfId="1" applyFont="1" applyFill="1" applyBorder="1" applyAlignment="1">
      <alignment horizontal="center" vertical="center" shrinkToFit="1"/>
    </xf>
    <xf numFmtId="41" fontId="1" fillId="0" borderId="30" xfId="1" applyFont="1" applyFill="1" applyBorder="1" applyAlignment="1">
      <alignment horizontal="center" vertical="center" shrinkToFit="1"/>
    </xf>
    <xf numFmtId="41" fontId="1" fillId="0" borderId="11" xfId="1" applyFont="1" applyFill="1" applyBorder="1" applyAlignment="1">
      <alignment horizontal="center" vertical="center" shrinkToFit="1"/>
    </xf>
    <xf numFmtId="41" fontId="1" fillId="0" borderId="14" xfId="1" applyFont="1" applyFill="1" applyBorder="1" applyAlignment="1">
      <alignment horizontal="center" vertical="center" shrinkToFit="1"/>
    </xf>
    <xf numFmtId="41" fontId="6" fillId="3" borderId="9" xfId="1" applyFont="1" applyFill="1" applyBorder="1" applyAlignment="1">
      <alignment horizontal="center" vertical="center" shrinkToFit="1"/>
    </xf>
    <xf numFmtId="41" fontId="6" fillId="3" borderId="10" xfId="1" applyFont="1" applyFill="1" applyBorder="1" applyAlignment="1">
      <alignment horizontal="center" vertical="center" shrinkToFit="1"/>
    </xf>
    <xf numFmtId="41" fontId="1" fillId="0" borderId="24" xfId="1" applyFont="1" applyFill="1" applyBorder="1" applyAlignment="1">
      <alignment horizontal="center" vertical="center" shrinkToFit="1"/>
    </xf>
    <xf numFmtId="41" fontId="7" fillId="0" borderId="9" xfId="1" applyFont="1" applyFill="1" applyBorder="1" applyAlignment="1">
      <alignment horizontal="center" vertical="center" shrinkToFit="1"/>
    </xf>
    <xf numFmtId="41" fontId="7" fillId="0" borderId="24" xfId="1" applyFont="1" applyFill="1" applyBorder="1" applyAlignment="1">
      <alignment horizontal="center" vertical="center" shrinkToFit="1"/>
    </xf>
    <xf numFmtId="41" fontId="1" fillId="4" borderId="31" xfId="1" applyFont="1" applyFill="1" applyBorder="1" applyAlignment="1">
      <alignment horizontal="center" vertical="center" shrinkToFit="1"/>
    </xf>
    <xf numFmtId="41" fontId="1" fillId="0" borderId="10" xfId="1" applyFont="1" applyFill="1" applyBorder="1" applyAlignment="1">
      <alignment horizontal="center" vertical="center" shrinkToFit="1"/>
    </xf>
    <xf numFmtId="41" fontId="1" fillId="4" borderId="24" xfId="1" applyFont="1" applyFill="1" applyBorder="1" applyAlignment="1">
      <alignment horizontal="center" vertical="center" shrinkToFit="1"/>
    </xf>
    <xf numFmtId="41" fontId="1" fillId="4" borderId="10" xfId="1" applyFont="1" applyFill="1" applyBorder="1" applyAlignment="1">
      <alignment horizontal="center" vertical="center" shrinkToFit="1"/>
    </xf>
    <xf numFmtId="41" fontId="1" fillId="0" borderId="8" xfId="1" applyFont="1" applyFill="1" applyBorder="1" applyAlignment="1">
      <alignment horizontal="center" vertical="center" shrinkToFit="1"/>
    </xf>
    <xf numFmtId="41" fontId="1" fillId="0" borderId="31" xfId="1" applyFont="1" applyFill="1" applyBorder="1" applyAlignment="1">
      <alignment horizontal="center" vertical="center" shrinkToFit="1"/>
    </xf>
    <xf numFmtId="41" fontId="1" fillId="0" borderId="26" xfId="1" applyFont="1" applyFill="1" applyBorder="1" applyAlignment="1">
      <alignment horizontal="center" vertical="center" shrinkToFit="1"/>
    </xf>
    <xf numFmtId="41" fontId="1" fillId="0" borderId="25" xfId="1" applyFont="1" applyFill="1" applyBorder="1" applyAlignment="1">
      <alignment horizontal="center" vertical="center" shrinkToFit="1"/>
    </xf>
    <xf numFmtId="41" fontId="1" fillId="0" borderId="12" xfId="1" applyFont="1" applyFill="1" applyBorder="1" applyAlignment="1">
      <alignment horizontal="center" vertical="center" shrinkToFit="1"/>
    </xf>
    <xf numFmtId="41" fontId="1" fillId="0" borderId="32" xfId="1" applyFont="1" applyFill="1" applyBorder="1" applyAlignment="1">
      <alignment horizontal="center" vertical="center" shrinkToFit="1"/>
    </xf>
    <xf numFmtId="41" fontId="7" fillId="4" borderId="29" xfId="1" applyFont="1" applyFill="1" applyBorder="1" applyAlignment="1">
      <alignment horizontal="center" vertical="center" shrinkToFit="1"/>
    </xf>
    <xf numFmtId="41" fontId="7" fillId="4" borderId="9" xfId="1" applyFont="1" applyFill="1" applyBorder="1" applyAlignment="1">
      <alignment horizontal="center" vertical="center" shrinkToFit="1"/>
    </xf>
    <xf numFmtId="41" fontId="7" fillId="4" borderId="24" xfId="1" applyFont="1" applyFill="1" applyBorder="1" applyAlignment="1">
      <alignment horizontal="center" vertical="center" shrinkToFit="1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9" defaultPivotStyle="PivotStyleLight16"/>
  <colors>
    <mruColors>
      <color rgb="FF0000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8"/>
  <sheetViews>
    <sheetView view="pageBreakPreview" zoomScale="70" zoomScaleNormal="70" zoomScaleSheetLayoutView="70" zoomScalePageLayoutView="72" workbookViewId="0">
      <selection activeCell="AC8" sqref="AC8"/>
    </sheetView>
  </sheetViews>
  <sheetFormatPr defaultRowHeight="12" x14ac:dyDescent="0.15"/>
  <cols>
    <col min="1" max="1" width="3.88671875" style="19" customWidth="1"/>
    <col min="2" max="2" width="13.44140625" style="19" customWidth="1"/>
    <col min="3" max="28" width="6.77734375" style="19" customWidth="1"/>
    <col min="29" max="16384" width="8.88671875" style="19"/>
  </cols>
  <sheetData>
    <row r="1" spans="1:29" ht="18.75" x14ac:dyDescent="0.25">
      <c r="A1" s="38" t="s">
        <v>74</v>
      </c>
      <c r="B1" s="37"/>
    </row>
    <row r="2" spans="1:29" ht="16.5" x14ac:dyDescent="0.2">
      <c r="A2" s="37"/>
      <c r="B2" s="37"/>
    </row>
    <row r="3" spans="1:29" ht="50.25" customHeight="1" x14ac:dyDescent="0.15">
      <c r="A3" s="178" t="s">
        <v>89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</row>
    <row r="4" spans="1:29" ht="23.25" customHeight="1" thickBot="1" x14ac:dyDescent="0.35">
      <c r="A4" s="36"/>
      <c r="B4" s="36"/>
      <c r="C4" s="36"/>
      <c r="D4" s="36"/>
      <c r="E4" s="36"/>
      <c r="F4" s="36"/>
      <c r="G4" s="36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9" s="35" customFormat="1" ht="23.25" customHeight="1" x14ac:dyDescent="0.15">
      <c r="A5" s="179"/>
      <c r="B5" s="180"/>
      <c r="C5" s="183" t="s">
        <v>73</v>
      </c>
      <c r="D5" s="185" t="s">
        <v>72</v>
      </c>
      <c r="E5" s="48" t="s">
        <v>71</v>
      </c>
      <c r="F5" s="48" t="s">
        <v>70</v>
      </c>
      <c r="G5" s="49" t="s">
        <v>69</v>
      </c>
      <c r="H5" s="187" t="s">
        <v>68</v>
      </c>
      <c r="I5" s="187"/>
      <c r="J5" s="187"/>
      <c r="K5" s="188" t="s">
        <v>67</v>
      </c>
      <c r="L5" s="189"/>
      <c r="M5" s="189"/>
      <c r="N5" s="189"/>
      <c r="O5" s="189"/>
      <c r="P5" s="189"/>
      <c r="Q5" s="189"/>
      <c r="R5" s="190" t="s">
        <v>66</v>
      </c>
      <c r="S5" s="191"/>
      <c r="T5" s="192"/>
      <c r="U5" s="193" t="s">
        <v>65</v>
      </c>
      <c r="V5" s="193"/>
      <c r="W5" s="193"/>
      <c r="X5" s="193"/>
      <c r="Y5" s="193"/>
      <c r="Z5" s="193" t="s">
        <v>64</v>
      </c>
      <c r="AA5" s="193"/>
      <c r="AB5" s="194"/>
    </row>
    <row r="6" spans="1:29" s="35" customFormat="1" ht="226.5" customHeight="1" x14ac:dyDescent="0.15">
      <c r="A6" s="181"/>
      <c r="B6" s="182"/>
      <c r="C6" s="184"/>
      <c r="D6" s="186"/>
      <c r="E6" s="50" t="s">
        <v>79</v>
      </c>
      <c r="F6" s="50" t="s">
        <v>80</v>
      </c>
      <c r="G6" s="51" t="s">
        <v>63</v>
      </c>
      <c r="H6" s="52" t="s">
        <v>76</v>
      </c>
      <c r="I6" s="159" t="s">
        <v>3</v>
      </c>
      <c r="J6" s="214" t="s">
        <v>85</v>
      </c>
      <c r="K6" s="53" t="s">
        <v>62</v>
      </c>
      <c r="L6" s="54" t="s">
        <v>61</v>
      </c>
      <c r="M6" s="54" t="s">
        <v>60</v>
      </c>
      <c r="N6" s="54" t="s">
        <v>59</v>
      </c>
      <c r="O6" s="103" t="s">
        <v>77</v>
      </c>
      <c r="P6" s="151" t="s">
        <v>83</v>
      </c>
      <c r="Q6" s="152" t="s">
        <v>84</v>
      </c>
      <c r="R6" s="55" t="s">
        <v>58</v>
      </c>
      <c r="S6" s="103" t="s">
        <v>36</v>
      </c>
      <c r="T6" s="57" t="s">
        <v>37</v>
      </c>
      <c r="U6" s="55" t="s">
        <v>57</v>
      </c>
      <c r="V6" s="56" t="s">
        <v>56</v>
      </c>
      <c r="W6" s="56" t="s">
        <v>40</v>
      </c>
      <c r="X6" s="157" t="s">
        <v>86</v>
      </c>
      <c r="Y6" s="160" t="s">
        <v>87</v>
      </c>
      <c r="Z6" s="58" t="s">
        <v>41</v>
      </c>
      <c r="AA6" s="56" t="s">
        <v>55</v>
      </c>
      <c r="AB6" s="59" t="s">
        <v>54</v>
      </c>
    </row>
    <row r="7" spans="1:29" s="32" customFormat="1" ht="35.1" customHeight="1" x14ac:dyDescent="0.15">
      <c r="A7" s="174" t="s">
        <v>53</v>
      </c>
      <c r="B7" s="175"/>
      <c r="C7" s="34">
        <f t="shared" ref="C7:AB7" si="0">C8+C13</f>
        <v>210</v>
      </c>
      <c r="D7" s="34">
        <f t="shared" si="0"/>
        <v>1</v>
      </c>
      <c r="E7" s="34">
        <f t="shared" si="0"/>
        <v>2</v>
      </c>
      <c r="F7" s="34">
        <f t="shared" si="0"/>
        <v>1</v>
      </c>
      <c r="G7" s="34">
        <f t="shared" si="0"/>
        <v>6</v>
      </c>
      <c r="H7" s="60">
        <f t="shared" si="0"/>
        <v>36</v>
      </c>
      <c r="I7" s="172">
        <f t="shared" si="0"/>
        <v>3</v>
      </c>
      <c r="J7" s="215">
        <f t="shared" si="0"/>
        <v>7</v>
      </c>
      <c r="K7" s="60">
        <f t="shared" si="0"/>
        <v>30</v>
      </c>
      <c r="L7" s="61">
        <f t="shared" si="0"/>
        <v>1</v>
      </c>
      <c r="M7" s="61">
        <f t="shared" si="0"/>
        <v>1</v>
      </c>
      <c r="N7" s="61">
        <f t="shared" si="0"/>
        <v>4</v>
      </c>
      <c r="O7" s="61">
        <f t="shared" si="0"/>
        <v>1</v>
      </c>
      <c r="P7" s="61">
        <f t="shared" si="0"/>
        <v>1</v>
      </c>
      <c r="Q7" s="153">
        <f t="shared" si="0"/>
        <v>7</v>
      </c>
      <c r="R7" s="60">
        <f t="shared" si="0"/>
        <v>48</v>
      </c>
      <c r="S7" s="61">
        <f t="shared" si="0"/>
        <v>2</v>
      </c>
      <c r="T7" s="62">
        <f t="shared" si="0"/>
        <v>0</v>
      </c>
      <c r="U7" s="60">
        <f t="shared" si="0"/>
        <v>41</v>
      </c>
      <c r="V7" s="61">
        <f t="shared" si="0"/>
        <v>1</v>
      </c>
      <c r="W7" s="61">
        <f t="shared" si="0"/>
        <v>2</v>
      </c>
      <c r="X7" s="61">
        <f t="shared" si="0"/>
        <v>6</v>
      </c>
      <c r="Y7" s="153">
        <f t="shared" si="0"/>
        <v>7</v>
      </c>
      <c r="Z7" s="60">
        <f t="shared" si="0"/>
        <v>0</v>
      </c>
      <c r="AA7" s="61">
        <f t="shared" si="0"/>
        <v>1</v>
      </c>
      <c r="AB7" s="63">
        <f t="shared" si="0"/>
        <v>1</v>
      </c>
      <c r="AC7" s="33"/>
    </row>
    <row r="8" spans="1:29" s="29" customFormat="1" ht="35.1" customHeight="1" x14ac:dyDescent="0.15">
      <c r="A8" s="176" t="s">
        <v>52</v>
      </c>
      <c r="B8" s="64" t="s">
        <v>48</v>
      </c>
      <c r="C8" s="31">
        <f t="shared" ref="C8:AB8" si="1">SUM(C9:C12)</f>
        <v>52</v>
      </c>
      <c r="D8" s="31">
        <f t="shared" si="1"/>
        <v>1</v>
      </c>
      <c r="E8" s="31">
        <f t="shared" si="1"/>
        <v>0</v>
      </c>
      <c r="F8" s="31">
        <f t="shared" si="1"/>
        <v>1</v>
      </c>
      <c r="G8" s="31">
        <f t="shared" si="1"/>
        <v>2</v>
      </c>
      <c r="H8" s="65">
        <f t="shared" si="1"/>
        <v>7</v>
      </c>
      <c r="I8" s="173">
        <f t="shared" si="1"/>
        <v>3</v>
      </c>
      <c r="J8" s="216">
        <f t="shared" si="1"/>
        <v>1</v>
      </c>
      <c r="K8" s="65">
        <f t="shared" si="1"/>
        <v>11</v>
      </c>
      <c r="L8" s="66">
        <f t="shared" si="1"/>
        <v>1</v>
      </c>
      <c r="M8" s="66">
        <f t="shared" si="1"/>
        <v>1</v>
      </c>
      <c r="N8" s="66">
        <f t="shared" si="1"/>
        <v>1</v>
      </c>
      <c r="O8" s="66">
        <f t="shared" si="1"/>
        <v>0</v>
      </c>
      <c r="P8" s="66">
        <f t="shared" si="1"/>
        <v>1</v>
      </c>
      <c r="Q8" s="154">
        <f t="shared" si="1"/>
        <v>1</v>
      </c>
      <c r="R8" s="65">
        <f t="shared" si="1"/>
        <v>13</v>
      </c>
      <c r="S8" s="66">
        <f t="shared" si="1"/>
        <v>0</v>
      </c>
      <c r="T8" s="67">
        <f t="shared" si="1"/>
        <v>0</v>
      </c>
      <c r="U8" s="65">
        <f t="shared" si="1"/>
        <v>4</v>
      </c>
      <c r="V8" s="66">
        <f t="shared" si="1"/>
        <v>0</v>
      </c>
      <c r="W8" s="66">
        <f t="shared" si="1"/>
        <v>1</v>
      </c>
      <c r="X8" s="66">
        <f t="shared" si="1"/>
        <v>1</v>
      </c>
      <c r="Y8" s="154">
        <f t="shared" si="1"/>
        <v>1</v>
      </c>
      <c r="Z8" s="65">
        <f t="shared" si="1"/>
        <v>0</v>
      </c>
      <c r="AA8" s="66">
        <f t="shared" si="1"/>
        <v>0</v>
      </c>
      <c r="AB8" s="68">
        <f t="shared" si="1"/>
        <v>1</v>
      </c>
      <c r="AC8" s="30"/>
    </row>
    <row r="9" spans="1:29" s="21" customFormat="1" ht="35.1" customHeight="1" x14ac:dyDescent="0.15">
      <c r="A9" s="176"/>
      <c r="B9" s="69" t="s">
        <v>82</v>
      </c>
      <c r="C9" s="26">
        <f>SUM(D9:AB9)</f>
        <v>17</v>
      </c>
      <c r="D9" s="70">
        <v>1</v>
      </c>
      <c r="E9" s="70"/>
      <c r="F9" s="70"/>
      <c r="G9" s="70">
        <v>1</v>
      </c>
      <c r="H9" s="71">
        <v>2</v>
      </c>
      <c r="I9" s="158">
        <v>1</v>
      </c>
      <c r="J9" s="217"/>
      <c r="K9" s="71">
        <v>3</v>
      </c>
      <c r="L9" s="72">
        <v>1</v>
      </c>
      <c r="M9" s="72">
        <v>1</v>
      </c>
      <c r="N9" s="72"/>
      <c r="O9" s="144"/>
      <c r="P9" s="144"/>
      <c r="Q9" s="155"/>
      <c r="R9" s="71">
        <v>3</v>
      </c>
      <c r="S9" s="142"/>
      <c r="T9" s="73"/>
      <c r="U9" s="71">
        <v>3</v>
      </c>
      <c r="V9" s="72"/>
      <c r="W9" s="72"/>
      <c r="X9" s="144">
        <v>1</v>
      </c>
      <c r="Y9" s="217"/>
      <c r="Z9" s="71"/>
      <c r="AA9" s="72"/>
      <c r="AB9" s="74"/>
      <c r="AC9" s="22"/>
    </row>
    <row r="10" spans="1:29" s="21" customFormat="1" ht="35.1" customHeight="1" x14ac:dyDescent="0.15">
      <c r="A10" s="176"/>
      <c r="B10" s="75" t="s">
        <v>81</v>
      </c>
      <c r="C10" s="76">
        <f>SUM(D10:AB10)</f>
        <v>18</v>
      </c>
      <c r="D10" s="25"/>
      <c r="E10" s="25"/>
      <c r="F10" s="25">
        <v>1</v>
      </c>
      <c r="G10" s="25"/>
      <c r="H10" s="77">
        <v>2</v>
      </c>
      <c r="I10" s="92">
        <v>2</v>
      </c>
      <c r="J10" s="78">
        <v>1</v>
      </c>
      <c r="K10" s="77">
        <v>3</v>
      </c>
      <c r="L10" s="79"/>
      <c r="M10" s="79"/>
      <c r="N10" s="79"/>
      <c r="O10" s="145"/>
      <c r="P10" s="145">
        <v>1</v>
      </c>
      <c r="Q10" s="156">
        <v>1</v>
      </c>
      <c r="R10" s="77">
        <v>5</v>
      </c>
      <c r="S10" s="143"/>
      <c r="T10" s="80"/>
      <c r="U10" s="81"/>
      <c r="V10" s="79"/>
      <c r="W10" s="79">
        <v>1</v>
      </c>
      <c r="X10" s="145"/>
      <c r="Y10" s="156">
        <v>1</v>
      </c>
      <c r="Z10" s="77"/>
      <c r="AA10" s="79"/>
      <c r="AB10" s="82"/>
      <c r="AC10" s="22"/>
    </row>
    <row r="11" spans="1:29" s="21" customFormat="1" ht="35.1" customHeight="1" x14ac:dyDescent="0.15">
      <c r="A11" s="176"/>
      <c r="B11" s="75" t="s">
        <v>51</v>
      </c>
      <c r="C11" s="76">
        <f>SUM(D11:AB11)</f>
        <v>17</v>
      </c>
      <c r="D11" s="25"/>
      <c r="E11" s="25"/>
      <c r="F11" s="25"/>
      <c r="G11" s="25">
        <v>1</v>
      </c>
      <c r="H11" s="77">
        <v>3</v>
      </c>
      <c r="I11" s="92"/>
      <c r="J11" s="78"/>
      <c r="K11" s="77">
        <v>5</v>
      </c>
      <c r="L11" s="79"/>
      <c r="M11" s="79"/>
      <c r="N11" s="79">
        <v>1</v>
      </c>
      <c r="O11" s="145"/>
      <c r="P11" s="145"/>
      <c r="Q11" s="156"/>
      <c r="R11" s="77">
        <v>5</v>
      </c>
      <c r="S11" s="143"/>
      <c r="T11" s="83"/>
      <c r="U11" s="81">
        <v>1</v>
      </c>
      <c r="V11" s="79">
        <v>0</v>
      </c>
      <c r="W11" s="79"/>
      <c r="X11" s="145"/>
      <c r="Y11" s="78"/>
      <c r="Z11" s="77"/>
      <c r="AA11" s="79"/>
      <c r="AB11" s="82">
        <v>1</v>
      </c>
      <c r="AC11" s="22"/>
    </row>
    <row r="12" spans="1:29" s="21" customFormat="1" ht="35.1" hidden="1" customHeight="1" x14ac:dyDescent="0.15">
      <c r="A12" s="176"/>
      <c r="B12" s="84" t="s">
        <v>50</v>
      </c>
      <c r="C12" s="76">
        <f>SUM(D12:Y12)</f>
        <v>0</v>
      </c>
      <c r="D12" s="25"/>
      <c r="E12" s="25"/>
      <c r="F12" s="25"/>
      <c r="G12" s="25"/>
      <c r="H12" s="77"/>
      <c r="I12" s="92"/>
      <c r="J12" s="78"/>
      <c r="K12" s="77"/>
      <c r="L12" s="79"/>
      <c r="M12" s="79"/>
      <c r="N12" s="79"/>
      <c r="O12" s="145"/>
      <c r="P12" s="145"/>
      <c r="Q12" s="156"/>
      <c r="R12" s="77"/>
      <c r="S12" s="143"/>
      <c r="T12" s="80"/>
      <c r="U12" s="77"/>
      <c r="V12" s="79"/>
      <c r="W12" s="79"/>
      <c r="X12" s="145"/>
      <c r="Y12" s="156"/>
      <c r="Z12" s="77"/>
      <c r="AA12" s="79"/>
      <c r="AB12" s="82"/>
      <c r="AC12" s="22"/>
    </row>
    <row r="13" spans="1:29" s="29" customFormat="1" ht="35.1" customHeight="1" x14ac:dyDescent="0.15">
      <c r="A13" s="176" t="s">
        <v>49</v>
      </c>
      <c r="B13" s="64" t="s">
        <v>48</v>
      </c>
      <c r="C13" s="85">
        <f t="shared" ref="C13:AB13" si="2">SUM(C14:C19)</f>
        <v>158</v>
      </c>
      <c r="D13" s="85">
        <f t="shared" si="2"/>
        <v>0</v>
      </c>
      <c r="E13" s="85">
        <f t="shared" si="2"/>
        <v>2</v>
      </c>
      <c r="F13" s="85">
        <f t="shared" si="2"/>
        <v>0</v>
      </c>
      <c r="G13" s="85">
        <f t="shared" si="2"/>
        <v>4</v>
      </c>
      <c r="H13" s="86">
        <f t="shared" si="2"/>
        <v>29</v>
      </c>
      <c r="I13" s="89">
        <f t="shared" si="2"/>
        <v>0</v>
      </c>
      <c r="J13" s="218">
        <f t="shared" si="2"/>
        <v>6</v>
      </c>
      <c r="K13" s="87">
        <f t="shared" si="2"/>
        <v>19</v>
      </c>
      <c r="L13" s="88">
        <f t="shared" si="2"/>
        <v>0</v>
      </c>
      <c r="M13" s="89">
        <f t="shared" si="2"/>
        <v>0</v>
      </c>
      <c r="N13" s="89">
        <f t="shared" si="2"/>
        <v>3</v>
      </c>
      <c r="O13" s="89">
        <f t="shared" si="2"/>
        <v>1</v>
      </c>
      <c r="P13" s="89">
        <f t="shared" si="2"/>
        <v>0</v>
      </c>
      <c r="Q13" s="218">
        <f t="shared" si="2"/>
        <v>6</v>
      </c>
      <c r="R13" s="86">
        <f t="shared" si="2"/>
        <v>35</v>
      </c>
      <c r="S13" s="88">
        <f t="shared" si="2"/>
        <v>2</v>
      </c>
      <c r="T13" s="90">
        <f t="shared" si="2"/>
        <v>0</v>
      </c>
      <c r="U13" s="86">
        <f t="shared" si="2"/>
        <v>37</v>
      </c>
      <c r="V13" s="88">
        <f t="shared" si="2"/>
        <v>1</v>
      </c>
      <c r="W13" s="88">
        <f t="shared" si="2"/>
        <v>1</v>
      </c>
      <c r="X13" s="88">
        <f t="shared" si="2"/>
        <v>5</v>
      </c>
      <c r="Y13" s="218">
        <f t="shared" si="2"/>
        <v>6</v>
      </c>
      <c r="Z13" s="86">
        <f t="shared" si="2"/>
        <v>0</v>
      </c>
      <c r="AA13" s="88">
        <f t="shared" si="2"/>
        <v>1</v>
      </c>
      <c r="AB13" s="91">
        <f t="shared" si="2"/>
        <v>0</v>
      </c>
      <c r="AC13" s="30"/>
    </row>
    <row r="14" spans="1:29" s="27" customFormat="1" ht="35.1" customHeight="1" x14ac:dyDescent="0.15">
      <c r="A14" s="176"/>
      <c r="B14" s="75" t="s">
        <v>47</v>
      </c>
      <c r="C14" s="26">
        <f t="shared" ref="C14:C19" si="3">SUM(D14:AB14)</f>
        <v>25</v>
      </c>
      <c r="D14" s="25"/>
      <c r="E14" s="25">
        <v>1</v>
      </c>
      <c r="F14" s="25"/>
      <c r="G14" s="25"/>
      <c r="H14" s="77">
        <v>4</v>
      </c>
      <c r="I14" s="92"/>
      <c r="J14" s="78">
        <v>1</v>
      </c>
      <c r="K14" s="77">
        <v>3</v>
      </c>
      <c r="L14" s="79"/>
      <c r="M14" s="79"/>
      <c r="N14" s="79"/>
      <c r="O14" s="145"/>
      <c r="P14" s="145"/>
      <c r="Q14" s="78">
        <v>1</v>
      </c>
      <c r="R14" s="77">
        <v>6</v>
      </c>
      <c r="S14" s="92"/>
      <c r="T14" s="78">
        <v>0</v>
      </c>
      <c r="U14" s="81">
        <v>6</v>
      </c>
      <c r="V14" s="79">
        <v>1</v>
      </c>
      <c r="W14" s="79"/>
      <c r="X14" s="145">
        <v>1</v>
      </c>
      <c r="Y14" s="78">
        <v>1</v>
      </c>
      <c r="Z14" s="77"/>
      <c r="AA14" s="79"/>
      <c r="AB14" s="82"/>
      <c r="AC14" s="28"/>
    </row>
    <row r="15" spans="1:29" s="21" customFormat="1" ht="35.1" customHeight="1" x14ac:dyDescent="0.15">
      <c r="A15" s="176"/>
      <c r="B15" s="75" t="s">
        <v>46</v>
      </c>
      <c r="C15" s="26">
        <f t="shared" si="3"/>
        <v>31</v>
      </c>
      <c r="D15" s="25"/>
      <c r="E15" s="25">
        <v>1</v>
      </c>
      <c r="F15" s="25"/>
      <c r="G15" s="25"/>
      <c r="H15" s="77">
        <v>6</v>
      </c>
      <c r="I15" s="92"/>
      <c r="J15" s="78">
        <v>1</v>
      </c>
      <c r="K15" s="77">
        <v>3</v>
      </c>
      <c r="L15" s="79"/>
      <c r="M15" s="79"/>
      <c r="N15" s="79">
        <v>1</v>
      </c>
      <c r="O15" s="145"/>
      <c r="P15" s="145"/>
      <c r="Q15" s="78">
        <v>1</v>
      </c>
      <c r="R15" s="77">
        <v>8</v>
      </c>
      <c r="S15" s="92"/>
      <c r="T15" s="78"/>
      <c r="U15" s="77">
        <v>7</v>
      </c>
      <c r="V15" s="79"/>
      <c r="W15" s="79">
        <v>0</v>
      </c>
      <c r="X15" s="145">
        <v>1</v>
      </c>
      <c r="Y15" s="78">
        <v>1</v>
      </c>
      <c r="Z15" s="77"/>
      <c r="AA15" s="79">
        <v>1</v>
      </c>
      <c r="AB15" s="82"/>
      <c r="AC15" s="22"/>
    </row>
    <row r="16" spans="1:29" s="21" customFormat="1" ht="35.1" customHeight="1" x14ac:dyDescent="0.15">
      <c r="A16" s="176"/>
      <c r="B16" s="75" t="s">
        <v>45</v>
      </c>
      <c r="C16" s="26">
        <f t="shared" si="3"/>
        <v>31</v>
      </c>
      <c r="D16" s="25"/>
      <c r="E16" s="25"/>
      <c r="F16" s="25"/>
      <c r="G16" s="25">
        <v>1</v>
      </c>
      <c r="H16" s="77">
        <v>6</v>
      </c>
      <c r="I16" s="92"/>
      <c r="J16" s="78">
        <v>1</v>
      </c>
      <c r="K16" s="77">
        <v>6</v>
      </c>
      <c r="L16" s="79"/>
      <c r="M16" s="79"/>
      <c r="N16" s="79"/>
      <c r="O16" s="145"/>
      <c r="P16" s="145"/>
      <c r="Q16" s="78">
        <v>1</v>
      </c>
      <c r="R16" s="77">
        <v>4</v>
      </c>
      <c r="S16" s="92"/>
      <c r="T16" s="78"/>
      <c r="U16" s="81">
        <v>10</v>
      </c>
      <c r="V16" s="79"/>
      <c r="W16" s="79">
        <v>0</v>
      </c>
      <c r="X16" s="145">
        <v>1</v>
      </c>
      <c r="Y16" s="78">
        <v>1</v>
      </c>
      <c r="Z16" s="77"/>
      <c r="AA16" s="79"/>
      <c r="AB16" s="82">
        <v>0</v>
      </c>
      <c r="AC16" s="22"/>
    </row>
    <row r="17" spans="1:29" s="21" customFormat="1" ht="35.1" customHeight="1" x14ac:dyDescent="0.15">
      <c r="A17" s="176"/>
      <c r="B17" s="75" t="s">
        <v>44</v>
      </c>
      <c r="C17" s="26">
        <f t="shared" si="3"/>
        <v>28</v>
      </c>
      <c r="D17" s="25"/>
      <c r="E17" s="25"/>
      <c r="F17" s="25"/>
      <c r="G17" s="25">
        <v>1</v>
      </c>
      <c r="H17" s="77">
        <v>5</v>
      </c>
      <c r="I17" s="92"/>
      <c r="J17" s="78">
        <v>1</v>
      </c>
      <c r="K17" s="77">
        <v>4</v>
      </c>
      <c r="L17" s="79"/>
      <c r="M17" s="79"/>
      <c r="N17" s="79">
        <v>1</v>
      </c>
      <c r="O17" s="145"/>
      <c r="P17" s="145"/>
      <c r="Q17" s="78">
        <v>1</v>
      </c>
      <c r="R17" s="77">
        <v>6</v>
      </c>
      <c r="S17" s="92">
        <v>1</v>
      </c>
      <c r="T17" s="78"/>
      <c r="U17" s="81">
        <v>7</v>
      </c>
      <c r="V17" s="79"/>
      <c r="W17" s="79"/>
      <c r="X17" s="145"/>
      <c r="Y17" s="78">
        <v>1</v>
      </c>
      <c r="Z17" s="77">
        <v>0</v>
      </c>
      <c r="AA17" s="79"/>
      <c r="AB17" s="82"/>
      <c r="AC17" s="22"/>
    </row>
    <row r="18" spans="1:29" s="21" customFormat="1" ht="35.1" customHeight="1" x14ac:dyDescent="0.15">
      <c r="A18" s="176"/>
      <c r="B18" s="75" t="s">
        <v>43</v>
      </c>
      <c r="C18" s="26">
        <f t="shared" si="3"/>
        <v>24</v>
      </c>
      <c r="D18" s="25"/>
      <c r="E18" s="25"/>
      <c r="F18" s="25"/>
      <c r="G18" s="25">
        <v>1</v>
      </c>
      <c r="H18" s="77">
        <v>4</v>
      </c>
      <c r="I18" s="92"/>
      <c r="J18" s="78">
        <v>1</v>
      </c>
      <c r="K18" s="77">
        <v>2</v>
      </c>
      <c r="L18" s="79"/>
      <c r="M18" s="79"/>
      <c r="N18" s="79"/>
      <c r="O18" s="145">
        <v>1</v>
      </c>
      <c r="P18" s="145"/>
      <c r="Q18" s="78">
        <v>1</v>
      </c>
      <c r="R18" s="77">
        <v>6</v>
      </c>
      <c r="S18" s="92">
        <v>1</v>
      </c>
      <c r="T18" s="78"/>
      <c r="U18" s="77">
        <v>5</v>
      </c>
      <c r="V18" s="79"/>
      <c r="W18" s="79"/>
      <c r="X18" s="145">
        <v>1</v>
      </c>
      <c r="Y18" s="78">
        <v>1</v>
      </c>
      <c r="Z18" s="77"/>
      <c r="AA18" s="79"/>
      <c r="AB18" s="82"/>
      <c r="AC18" s="22"/>
    </row>
    <row r="19" spans="1:29" s="21" customFormat="1" ht="35.1" customHeight="1" thickBot="1" x14ac:dyDescent="0.2">
      <c r="A19" s="177"/>
      <c r="B19" s="93" t="s">
        <v>42</v>
      </c>
      <c r="C19" s="24">
        <f t="shared" si="3"/>
        <v>19</v>
      </c>
      <c r="D19" s="23"/>
      <c r="E19" s="23"/>
      <c r="F19" s="23"/>
      <c r="G19" s="23">
        <v>1</v>
      </c>
      <c r="H19" s="94">
        <v>4</v>
      </c>
      <c r="I19" s="97"/>
      <c r="J19" s="95">
        <v>1</v>
      </c>
      <c r="K19" s="94">
        <v>1</v>
      </c>
      <c r="L19" s="96"/>
      <c r="M19" s="96"/>
      <c r="N19" s="96">
        <v>1</v>
      </c>
      <c r="O19" s="146"/>
      <c r="P19" s="146"/>
      <c r="Q19" s="95">
        <v>1</v>
      </c>
      <c r="R19" s="94">
        <v>5</v>
      </c>
      <c r="S19" s="97"/>
      <c r="T19" s="95"/>
      <c r="U19" s="94">
        <v>2</v>
      </c>
      <c r="V19" s="96"/>
      <c r="W19" s="96">
        <v>1</v>
      </c>
      <c r="X19" s="146">
        <v>1</v>
      </c>
      <c r="Y19" s="95">
        <v>1</v>
      </c>
      <c r="Z19" s="94"/>
      <c r="AA19" s="96"/>
      <c r="AB19" s="98"/>
      <c r="AC19" s="22"/>
    </row>
    <row r="20" spans="1:29" s="20" customFormat="1" ht="23.25" customHeight="1" x14ac:dyDescent="0.15"/>
    <row r="21" spans="1:29" s="20" customFormat="1" ht="23.25" customHeight="1" x14ac:dyDescent="0.15"/>
    <row r="22" spans="1:29" s="20" customFormat="1" ht="23.25" customHeight="1" x14ac:dyDescent="0.15"/>
    <row r="23" spans="1:29" s="20" customFormat="1" ht="23.25" customHeight="1" x14ac:dyDescent="0.15"/>
    <row r="24" spans="1:29" s="20" customFormat="1" ht="23.25" customHeight="1" x14ac:dyDescent="0.15"/>
    <row r="25" spans="1:29" s="20" customFormat="1" ht="23.25" customHeight="1" x14ac:dyDescent="0.15"/>
    <row r="26" spans="1:29" s="20" customFormat="1" ht="23.25" customHeight="1" x14ac:dyDescent="0.15"/>
    <row r="27" spans="1:29" s="20" customFormat="1" ht="23.25" customHeight="1" x14ac:dyDescent="0.15"/>
    <row r="28" spans="1:29" s="20" customFormat="1" ht="23.25" customHeight="1" x14ac:dyDescent="0.15"/>
    <row r="29" spans="1:29" s="20" customFormat="1" ht="23.25" customHeight="1" x14ac:dyDescent="0.15"/>
    <row r="30" spans="1:29" s="20" customFormat="1" ht="23.25" customHeight="1" x14ac:dyDescent="0.15"/>
    <row r="31" spans="1:29" s="20" customFormat="1" ht="23.25" customHeight="1" x14ac:dyDescent="0.15"/>
    <row r="32" spans="1:29" s="20" customFormat="1" ht="23.25" customHeight="1" x14ac:dyDescent="0.15"/>
    <row r="33" s="20" customFormat="1" ht="23.25" customHeight="1" x14ac:dyDescent="0.15"/>
    <row r="34" s="20" customFormat="1" ht="23.25" customHeight="1" x14ac:dyDescent="0.15"/>
    <row r="35" s="20" customFormat="1" x14ac:dyDescent="0.15"/>
    <row r="36" s="20" customFormat="1" x14ac:dyDescent="0.15"/>
    <row r="37" s="20" customFormat="1" x14ac:dyDescent="0.15"/>
    <row r="38" s="20" customFormat="1" x14ac:dyDescent="0.15"/>
    <row r="39" s="20" customFormat="1" x14ac:dyDescent="0.15"/>
    <row r="40" s="20" customFormat="1" x14ac:dyDescent="0.15"/>
    <row r="41" s="20" customFormat="1" x14ac:dyDescent="0.15"/>
    <row r="42" s="20" customFormat="1" x14ac:dyDescent="0.15"/>
    <row r="43" s="20" customFormat="1" x14ac:dyDescent="0.15"/>
    <row r="44" s="20" customFormat="1" x14ac:dyDescent="0.15"/>
    <row r="45" s="20" customFormat="1" x14ac:dyDescent="0.15"/>
    <row r="46" s="20" customFormat="1" x14ac:dyDescent="0.15"/>
    <row r="47" s="20" customFormat="1" x14ac:dyDescent="0.15"/>
    <row r="48" s="20" customFormat="1" x14ac:dyDescent="0.15"/>
  </sheetData>
  <mergeCells count="12">
    <mergeCell ref="A7:B7"/>
    <mergeCell ref="A8:A12"/>
    <mergeCell ref="A13:A19"/>
    <mergeCell ref="A3:AB3"/>
    <mergeCell ref="A5:B6"/>
    <mergeCell ref="C5:C6"/>
    <mergeCell ref="D5:D6"/>
    <mergeCell ref="H5:J5"/>
    <mergeCell ref="K5:Q5"/>
    <mergeCell ref="R5:T5"/>
    <mergeCell ref="U5:Y5"/>
    <mergeCell ref="Z5:AB5"/>
  </mergeCells>
  <phoneticPr fontId="3" type="noConversion"/>
  <printOptions horizontalCentered="1"/>
  <pageMargins left="0.23622047244094491" right="0.23622047244094491" top="0.43307086614173229" bottom="0.59055118110236227" header="0.23622047244094491" footer="0.51181102362204722"/>
  <pageSetup paperSize="9" scale="53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tabSelected="1" view="pageBreakPreview" zoomScale="70" zoomScaleNormal="70" zoomScaleSheetLayoutView="70" zoomScalePageLayoutView="72" workbookViewId="0">
      <pane ySplit="6" topLeftCell="A7" activePane="bottomLeft" state="frozen"/>
      <selection pane="bottomLeft" activeCell="AF6" sqref="AF6"/>
    </sheetView>
  </sheetViews>
  <sheetFormatPr defaultRowHeight="5.65" customHeight="1" x14ac:dyDescent="0.15"/>
  <cols>
    <col min="1" max="1" width="3.88671875" style="1" customWidth="1"/>
    <col min="2" max="2" width="13.44140625" style="1" customWidth="1"/>
    <col min="3" max="30" width="6.77734375" style="1" customWidth="1"/>
    <col min="31" max="31" width="6.77734375" style="1" hidden="1" customWidth="1"/>
    <col min="32" max="16384" width="8.88671875" style="1"/>
  </cols>
  <sheetData>
    <row r="1" spans="1:34" ht="18.75" x14ac:dyDescent="0.25">
      <c r="A1" s="148" t="s">
        <v>78</v>
      </c>
      <c r="B1" s="149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4" ht="16.5" x14ac:dyDescent="0.2">
      <c r="A2" s="149"/>
      <c r="B2" s="149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4" ht="50.25" customHeight="1" x14ac:dyDescent="0.15">
      <c r="A3" s="195" t="s">
        <v>90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8"/>
    </row>
    <row r="4" spans="1:34" ht="23.25" customHeight="1" thickBot="1" x14ac:dyDescent="0.35">
      <c r="A4" s="150"/>
      <c r="B4" s="150"/>
      <c r="C4" s="150"/>
      <c r="D4" s="150"/>
      <c r="E4" s="150"/>
      <c r="F4" s="150"/>
      <c r="G4" s="150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4" s="3" customFormat="1" ht="23.25" customHeight="1" x14ac:dyDescent="0.15">
      <c r="A5" s="202"/>
      <c r="B5" s="203"/>
      <c r="C5" s="206" t="s">
        <v>35</v>
      </c>
      <c r="D5" s="208" t="s">
        <v>4</v>
      </c>
      <c r="E5" s="147" t="s">
        <v>5</v>
      </c>
      <c r="F5" s="147" t="s">
        <v>11</v>
      </c>
      <c r="G5" s="99" t="s">
        <v>27</v>
      </c>
      <c r="H5" s="210" t="s">
        <v>12</v>
      </c>
      <c r="I5" s="210"/>
      <c r="J5" s="210"/>
      <c r="K5" s="210"/>
      <c r="L5" s="198" t="s">
        <v>29</v>
      </c>
      <c r="M5" s="199"/>
      <c r="N5" s="199"/>
      <c r="O5" s="199"/>
      <c r="P5" s="199"/>
      <c r="Q5" s="199"/>
      <c r="R5" s="199"/>
      <c r="S5" s="199"/>
      <c r="T5" s="211" t="s">
        <v>13</v>
      </c>
      <c r="U5" s="212"/>
      <c r="V5" s="213"/>
      <c r="W5" s="193" t="s">
        <v>14</v>
      </c>
      <c r="X5" s="193"/>
      <c r="Y5" s="193"/>
      <c r="Z5" s="193"/>
      <c r="AA5" s="193"/>
      <c r="AB5" s="193" t="s">
        <v>30</v>
      </c>
      <c r="AC5" s="193"/>
      <c r="AD5" s="194"/>
      <c r="AE5" s="39"/>
    </row>
    <row r="6" spans="1:34" s="3" customFormat="1" ht="226.5" customHeight="1" x14ac:dyDescent="0.15">
      <c r="A6" s="204"/>
      <c r="B6" s="205"/>
      <c r="C6" s="207"/>
      <c r="D6" s="209"/>
      <c r="E6" s="50" t="s">
        <v>79</v>
      </c>
      <c r="F6" s="50" t="s">
        <v>80</v>
      </c>
      <c r="G6" s="100" t="s">
        <v>31</v>
      </c>
      <c r="H6" s="101" t="s">
        <v>28</v>
      </c>
      <c r="I6" s="102" t="s">
        <v>3</v>
      </c>
      <c r="J6" s="103" t="s">
        <v>39</v>
      </c>
      <c r="K6" s="219" t="s">
        <v>85</v>
      </c>
      <c r="L6" s="220" t="s">
        <v>6</v>
      </c>
      <c r="M6" s="221" t="s">
        <v>33</v>
      </c>
      <c r="N6" s="221" t="s">
        <v>34</v>
      </c>
      <c r="O6" s="221" t="s">
        <v>32</v>
      </c>
      <c r="P6" s="221" t="s">
        <v>77</v>
      </c>
      <c r="Q6" s="221" t="s">
        <v>75</v>
      </c>
      <c r="R6" s="104" t="s">
        <v>88</v>
      </c>
      <c r="S6" s="161" t="s">
        <v>84</v>
      </c>
      <c r="T6" s="105" t="s">
        <v>19</v>
      </c>
      <c r="U6" s="103" t="s">
        <v>36</v>
      </c>
      <c r="V6" s="106" t="s">
        <v>37</v>
      </c>
      <c r="W6" s="105" t="s">
        <v>7</v>
      </c>
      <c r="X6" s="107" t="s">
        <v>38</v>
      </c>
      <c r="Y6" s="107" t="s">
        <v>17</v>
      </c>
      <c r="Z6" s="166" t="s">
        <v>86</v>
      </c>
      <c r="AA6" s="167" t="s">
        <v>87</v>
      </c>
      <c r="AB6" s="108" t="s">
        <v>8</v>
      </c>
      <c r="AC6" s="107" t="s">
        <v>18</v>
      </c>
      <c r="AD6" s="109" t="s">
        <v>9</v>
      </c>
      <c r="AE6" s="40" t="s">
        <v>10</v>
      </c>
    </row>
    <row r="7" spans="1:34" s="7" customFormat="1" ht="35.1" customHeight="1" x14ac:dyDescent="0.15">
      <c r="A7" s="200" t="s">
        <v>20</v>
      </c>
      <c r="B7" s="201"/>
      <c r="C7" s="16">
        <f t="shared" ref="C7:AD7" si="0">C8+C13</f>
        <v>213</v>
      </c>
      <c r="D7" s="16">
        <f t="shared" si="0"/>
        <v>1</v>
      </c>
      <c r="E7" s="16">
        <f t="shared" si="0"/>
        <v>2</v>
      </c>
      <c r="F7" s="16">
        <f t="shared" si="0"/>
        <v>1</v>
      </c>
      <c r="G7" s="16">
        <f t="shared" si="0"/>
        <v>6</v>
      </c>
      <c r="H7" s="110">
        <f t="shared" si="0"/>
        <v>36</v>
      </c>
      <c r="I7" s="111">
        <f t="shared" ref="I7:K7" si="1">I8+I13</f>
        <v>3</v>
      </c>
      <c r="J7" s="111">
        <f t="shared" si="1"/>
        <v>1</v>
      </c>
      <c r="K7" s="222">
        <f t="shared" si="1"/>
        <v>7</v>
      </c>
      <c r="L7" s="223">
        <f t="shared" si="0"/>
        <v>30</v>
      </c>
      <c r="M7" s="224">
        <f>M8+M13</f>
        <v>1</v>
      </c>
      <c r="N7" s="224">
        <f>N8+N13</f>
        <v>1</v>
      </c>
      <c r="O7" s="224">
        <f t="shared" ref="O7:P7" si="2">O8+O13</f>
        <v>4</v>
      </c>
      <c r="P7" s="224">
        <f t="shared" si="2"/>
        <v>1</v>
      </c>
      <c r="Q7" s="224">
        <f t="shared" ref="Q7:S7" si="3">Q8+Q13</f>
        <v>1</v>
      </c>
      <c r="R7" s="111">
        <f t="shared" si="3"/>
        <v>1</v>
      </c>
      <c r="S7" s="162">
        <f t="shared" si="3"/>
        <v>7</v>
      </c>
      <c r="T7" s="110">
        <f t="shared" si="0"/>
        <v>51</v>
      </c>
      <c r="U7" s="111">
        <f t="shared" si="0"/>
        <v>2</v>
      </c>
      <c r="V7" s="112">
        <f t="shared" si="0"/>
        <v>0</v>
      </c>
      <c r="W7" s="110">
        <f t="shared" si="0"/>
        <v>41</v>
      </c>
      <c r="X7" s="111">
        <f>X8+X13</f>
        <v>1</v>
      </c>
      <c r="Y7" s="111">
        <f>Y8+Y13</f>
        <v>1</v>
      </c>
      <c r="Z7" s="111">
        <f>Z8+Z13</f>
        <v>5</v>
      </c>
      <c r="AA7" s="168">
        <f t="shared" si="0"/>
        <v>7</v>
      </c>
      <c r="AB7" s="110">
        <f t="shared" si="0"/>
        <v>0</v>
      </c>
      <c r="AC7" s="111">
        <f t="shared" si="0"/>
        <v>1</v>
      </c>
      <c r="AD7" s="47">
        <f t="shared" si="0"/>
        <v>1</v>
      </c>
      <c r="AE7" s="41">
        <f>AE8+AE13</f>
        <v>0</v>
      </c>
      <c r="AF7" s="11"/>
      <c r="AG7" s="11"/>
      <c r="AH7" s="11"/>
    </row>
    <row r="8" spans="1:34" s="4" customFormat="1" ht="35.1" customHeight="1" x14ac:dyDescent="0.15">
      <c r="A8" s="196" t="s">
        <v>15</v>
      </c>
      <c r="B8" s="9" t="s">
        <v>21</v>
      </c>
      <c r="C8" s="17">
        <f>SUM(C9:C12)</f>
        <v>52</v>
      </c>
      <c r="D8" s="18">
        <f>SUM(D9:D12)</f>
        <v>1</v>
      </c>
      <c r="E8" s="18">
        <f t="shared" ref="E8:AD8" si="4">SUM(E9:E12)</f>
        <v>0</v>
      </c>
      <c r="F8" s="18">
        <f t="shared" si="4"/>
        <v>1</v>
      </c>
      <c r="G8" s="18">
        <f t="shared" si="4"/>
        <v>2</v>
      </c>
      <c r="H8" s="113">
        <f t="shared" si="4"/>
        <v>7</v>
      </c>
      <c r="I8" s="114">
        <f t="shared" ref="I8:K8" si="5">SUM(I9:I12)</f>
        <v>3</v>
      </c>
      <c r="J8" s="114">
        <f t="shared" si="5"/>
        <v>1</v>
      </c>
      <c r="K8" s="225">
        <f t="shared" si="5"/>
        <v>1</v>
      </c>
      <c r="L8" s="226">
        <f t="shared" si="4"/>
        <v>11</v>
      </c>
      <c r="M8" s="227">
        <f>SUM(M9:M12)</f>
        <v>1</v>
      </c>
      <c r="N8" s="227">
        <f>SUM(N9:N12)</f>
        <v>1</v>
      </c>
      <c r="O8" s="227">
        <f t="shared" ref="O8:P8" si="6">SUM(O9:O12)</f>
        <v>1</v>
      </c>
      <c r="P8" s="227">
        <f t="shared" si="6"/>
        <v>0</v>
      </c>
      <c r="Q8" s="227">
        <f t="shared" ref="Q8:S8" si="7">SUM(Q9:Q12)</f>
        <v>1</v>
      </c>
      <c r="R8" s="114">
        <f t="shared" si="7"/>
        <v>1</v>
      </c>
      <c r="S8" s="163">
        <f t="shared" si="7"/>
        <v>1</v>
      </c>
      <c r="T8" s="113">
        <f t="shared" si="4"/>
        <v>13</v>
      </c>
      <c r="U8" s="114">
        <f t="shared" si="4"/>
        <v>0</v>
      </c>
      <c r="V8" s="115">
        <f t="shared" si="4"/>
        <v>0</v>
      </c>
      <c r="W8" s="113">
        <f t="shared" si="4"/>
        <v>4</v>
      </c>
      <c r="X8" s="116">
        <f t="shared" si="4"/>
        <v>0</v>
      </c>
      <c r="Y8" s="114">
        <f>SUM(Y9:Y12)</f>
        <v>0</v>
      </c>
      <c r="Z8" s="114">
        <f>SUM(Z9:Z12)</f>
        <v>0</v>
      </c>
      <c r="AA8" s="169">
        <f t="shared" si="4"/>
        <v>1</v>
      </c>
      <c r="AB8" s="113">
        <f t="shared" si="4"/>
        <v>0</v>
      </c>
      <c r="AC8" s="114">
        <f t="shared" si="4"/>
        <v>0</v>
      </c>
      <c r="AD8" s="117">
        <f t="shared" si="4"/>
        <v>1</v>
      </c>
      <c r="AE8" s="42">
        <f>SUM(AE9:AE12)</f>
        <v>0</v>
      </c>
      <c r="AF8" s="12"/>
      <c r="AG8" s="12"/>
      <c r="AH8" s="12"/>
    </row>
    <row r="9" spans="1:34" s="5" customFormat="1" ht="35.1" customHeight="1" x14ac:dyDescent="0.15">
      <c r="A9" s="196"/>
      <c r="B9" s="69" t="s">
        <v>82</v>
      </c>
      <c r="C9" s="118">
        <f>SUM(D9:AD9)</f>
        <v>17</v>
      </c>
      <c r="D9" s="119">
        <v>1</v>
      </c>
      <c r="E9" s="119"/>
      <c r="F9" s="119"/>
      <c r="G9" s="119">
        <v>1</v>
      </c>
      <c r="H9" s="120">
        <v>2</v>
      </c>
      <c r="I9" s="121">
        <v>1</v>
      </c>
      <c r="J9" s="121">
        <v>1</v>
      </c>
      <c r="K9" s="228"/>
      <c r="L9" s="229">
        <v>3</v>
      </c>
      <c r="M9" s="230">
        <v>1</v>
      </c>
      <c r="N9" s="230">
        <v>1</v>
      </c>
      <c r="O9" s="230"/>
      <c r="P9" s="230"/>
      <c r="Q9" s="230"/>
      <c r="R9" s="122"/>
      <c r="S9" s="164"/>
      <c r="T9" s="229">
        <v>3</v>
      </c>
      <c r="U9" s="230"/>
      <c r="V9" s="228"/>
      <c r="W9" s="229">
        <v>3</v>
      </c>
      <c r="X9" s="248"/>
      <c r="Y9" s="230"/>
      <c r="Z9" s="246"/>
      <c r="AA9" s="170"/>
      <c r="AB9" s="120"/>
      <c r="AC9" s="121"/>
      <c r="AD9" s="123"/>
      <c r="AE9" s="43"/>
      <c r="AF9" s="13"/>
      <c r="AG9" s="13"/>
      <c r="AH9" s="13"/>
    </row>
    <row r="10" spans="1:34" s="5" customFormat="1" ht="35.1" customHeight="1" x14ac:dyDescent="0.15">
      <c r="A10" s="196"/>
      <c r="B10" s="69" t="s">
        <v>81</v>
      </c>
      <c r="C10" s="118">
        <f>SUM(D10:AD10)</f>
        <v>18</v>
      </c>
      <c r="D10" s="124"/>
      <c r="E10" s="124"/>
      <c r="F10" s="124">
        <v>1</v>
      </c>
      <c r="G10" s="124"/>
      <c r="H10" s="125">
        <v>2</v>
      </c>
      <c r="I10" s="126">
        <v>2</v>
      </c>
      <c r="J10" s="126"/>
      <c r="K10" s="231">
        <v>1</v>
      </c>
      <c r="L10" s="232">
        <v>3</v>
      </c>
      <c r="M10" s="233"/>
      <c r="N10" s="233"/>
      <c r="O10" s="233"/>
      <c r="P10" s="233"/>
      <c r="Q10" s="233">
        <v>1</v>
      </c>
      <c r="R10" s="127">
        <v>1</v>
      </c>
      <c r="S10" s="165">
        <v>1</v>
      </c>
      <c r="T10" s="232">
        <v>5</v>
      </c>
      <c r="U10" s="233"/>
      <c r="V10" s="231"/>
      <c r="W10" s="244"/>
      <c r="X10" s="245"/>
      <c r="Y10" s="233"/>
      <c r="Z10" s="251"/>
      <c r="AA10" s="171">
        <v>1</v>
      </c>
      <c r="AB10" s="125"/>
      <c r="AC10" s="126"/>
      <c r="AD10" s="128"/>
      <c r="AE10" s="43"/>
      <c r="AF10" s="13"/>
      <c r="AG10" s="13"/>
      <c r="AH10" s="13"/>
    </row>
    <row r="11" spans="1:34" s="6" customFormat="1" ht="35.1" customHeight="1" x14ac:dyDescent="0.15">
      <c r="A11" s="196"/>
      <c r="B11" s="129" t="s">
        <v>0</v>
      </c>
      <c r="C11" s="118">
        <f>SUM(D11:AD11)</f>
        <v>17</v>
      </c>
      <c r="D11" s="119"/>
      <c r="E11" s="119"/>
      <c r="F11" s="119"/>
      <c r="G11" s="119">
        <v>1</v>
      </c>
      <c r="H11" s="120">
        <v>3</v>
      </c>
      <c r="I11" s="121"/>
      <c r="J11" s="121"/>
      <c r="K11" s="231"/>
      <c r="L11" s="229">
        <v>5</v>
      </c>
      <c r="M11" s="230"/>
      <c r="N11" s="230"/>
      <c r="O11" s="230">
        <v>1</v>
      </c>
      <c r="P11" s="233"/>
      <c r="Q11" s="230"/>
      <c r="R11" s="122"/>
      <c r="S11" s="165"/>
      <c r="T11" s="229">
        <v>5</v>
      </c>
      <c r="U11" s="230"/>
      <c r="V11" s="256"/>
      <c r="W11" s="257">
        <v>1</v>
      </c>
      <c r="X11" s="258">
        <v>0</v>
      </c>
      <c r="Y11" s="230"/>
      <c r="Z11" s="246"/>
      <c r="AA11" s="170"/>
      <c r="AB11" s="120"/>
      <c r="AC11" s="121"/>
      <c r="AD11" s="123">
        <v>1</v>
      </c>
      <c r="AE11" s="44"/>
      <c r="AF11" s="10"/>
      <c r="AG11" s="10"/>
      <c r="AH11" s="14"/>
    </row>
    <row r="12" spans="1:34" s="5" customFormat="1" ht="35.1" hidden="1" customHeight="1" x14ac:dyDescent="0.15">
      <c r="A12" s="196"/>
      <c r="B12" s="130" t="s">
        <v>16</v>
      </c>
      <c r="C12" s="118">
        <f>SUM(D12:AA12)</f>
        <v>0</v>
      </c>
      <c r="D12" s="124"/>
      <c r="E12" s="124"/>
      <c r="F12" s="124"/>
      <c r="G12" s="124"/>
      <c r="H12" s="125"/>
      <c r="I12" s="126"/>
      <c r="J12" s="126"/>
      <c r="K12" s="231"/>
      <c r="L12" s="232"/>
      <c r="M12" s="233"/>
      <c r="N12" s="233"/>
      <c r="O12" s="233"/>
      <c r="P12" s="233"/>
      <c r="Q12" s="233"/>
      <c r="R12" s="127"/>
      <c r="S12" s="165"/>
      <c r="T12" s="232"/>
      <c r="U12" s="233"/>
      <c r="V12" s="231"/>
      <c r="W12" s="232"/>
      <c r="X12" s="243"/>
      <c r="Y12" s="233"/>
      <c r="Z12" s="251"/>
      <c r="AA12" s="171"/>
      <c r="AB12" s="125"/>
      <c r="AC12" s="126"/>
      <c r="AD12" s="128"/>
      <c r="AE12" s="43"/>
      <c r="AF12" s="13"/>
      <c r="AG12" s="13"/>
      <c r="AH12" s="13"/>
    </row>
    <row r="13" spans="1:34" s="4" customFormat="1" ht="35.1" customHeight="1" x14ac:dyDescent="0.15">
      <c r="A13" s="196" t="s">
        <v>22</v>
      </c>
      <c r="B13" s="9" t="s">
        <v>21</v>
      </c>
      <c r="C13" s="17">
        <f t="shared" ref="C13:AD13" si="8">SUM(C14:C19)</f>
        <v>161</v>
      </c>
      <c r="D13" s="131">
        <f t="shared" si="8"/>
        <v>0</v>
      </c>
      <c r="E13" s="131">
        <f t="shared" si="8"/>
        <v>2</v>
      </c>
      <c r="F13" s="131">
        <f t="shared" si="8"/>
        <v>0</v>
      </c>
      <c r="G13" s="131">
        <f t="shared" si="8"/>
        <v>4</v>
      </c>
      <c r="H13" s="132">
        <f t="shared" si="8"/>
        <v>29</v>
      </c>
      <c r="I13" s="133">
        <f t="shared" ref="I13:K13" si="9">SUM(I14:I19)</f>
        <v>0</v>
      </c>
      <c r="J13" s="133">
        <f t="shared" si="9"/>
        <v>0</v>
      </c>
      <c r="K13" s="234">
        <f t="shared" si="9"/>
        <v>6</v>
      </c>
      <c r="L13" s="235">
        <f t="shared" si="8"/>
        <v>19</v>
      </c>
      <c r="M13" s="236">
        <f t="shared" si="8"/>
        <v>0</v>
      </c>
      <c r="N13" s="237">
        <f t="shared" si="8"/>
        <v>0</v>
      </c>
      <c r="O13" s="236">
        <f t="shared" ref="O13:P13" si="10">SUM(O14:O19)</f>
        <v>3</v>
      </c>
      <c r="P13" s="236">
        <f t="shared" si="10"/>
        <v>1</v>
      </c>
      <c r="Q13" s="236">
        <f t="shared" ref="Q13:S13" si="11">SUM(Q14:Q19)</f>
        <v>0</v>
      </c>
      <c r="R13" s="133">
        <f t="shared" si="11"/>
        <v>0</v>
      </c>
      <c r="S13" s="236">
        <f t="shared" si="11"/>
        <v>6</v>
      </c>
      <c r="T13" s="241">
        <f t="shared" si="8"/>
        <v>38</v>
      </c>
      <c r="U13" s="236">
        <f t="shared" si="8"/>
        <v>2</v>
      </c>
      <c r="V13" s="234">
        <f t="shared" si="8"/>
        <v>0</v>
      </c>
      <c r="W13" s="241">
        <f t="shared" si="8"/>
        <v>37</v>
      </c>
      <c r="X13" s="236">
        <f>SUM(X14:X19)</f>
        <v>1</v>
      </c>
      <c r="Y13" s="236">
        <f>SUM(Y14:Y19)</f>
        <v>1</v>
      </c>
      <c r="Z13" s="236">
        <f>SUM(Z14:Z19)</f>
        <v>5</v>
      </c>
      <c r="AA13" s="242">
        <f t="shared" si="8"/>
        <v>6</v>
      </c>
      <c r="AB13" s="132">
        <f t="shared" si="8"/>
        <v>0</v>
      </c>
      <c r="AC13" s="133">
        <f t="shared" si="8"/>
        <v>1</v>
      </c>
      <c r="AD13" s="134">
        <f t="shared" si="8"/>
        <v>0</v>
      </c>
      <c r="AE13" s="45">
        <f>SUM(AE14:AE19)</f>
        <v>0</v>
      </c>
      <c r="AF13" s="12"/>
      <c r="AG13" s="12"/>
      <c r="AH13" s="12"/>
    </row>
    <row r="14" spans="1:34" s="6" customFormat="1" ht="35.1" customHeight="1" x14ac:dyDescent="0.15">
      <c r="A14" s="196"/>
      <c r="B14" s="69" t="s">
        <v>23</v>
      </c>
      <c r="C14" s="118">
        <f t="shared" ref="C14:C19" si="12">SUM(D14:AD14)</f>
        <v>25</v>
      </c>
      <c r="D14" s="124"/>
      <c r="E14" s="124">
        <v>1</v>
      </c>
      <c r="F14" s="124"/>
      <c r="G14" s="124"/>
      <c r="H14" s="125">
        <v>4</v>
      </c>
      <c r="I14" s="126"/>
      <c r="J14" s="126"/>
      <c r="K14" s="231">
        <v>1</v>
      </c>
      <c r="L14" s="232">
        <v>3</v>
      </c>
      <c r="M14" s="233"/>
      <c r="N14" s="233"/>
      <c r="O14" s="233">
        <v>0</v>
      </c>
      <c r="P14" s="233"/>
      <c r="Q14" s="233"/>
      <c r="R14" s="127"/>
      <c r="S14" s="243">
        <v>1</v>
      </c>
      <c r="T14" s="232">
        <v>6</v>
      </c>
      <c r="U14" s="233"/>
      <c r="V14" s="231">
        <v>0</v>
      </c>
      <c r="W14" s="244">
        <v>6</v>
      </c>
      <c r="X14" s="245">
        <v>1</v>
      </c>
      <c r="Y14" s="230"/>
      <c r="Z14" s="246">
        <v>1</v>
      </c>
      <c r="AA14" s="247">
        <v>1</v>
      </c>
      <c r="AB14" s="120"/>
      <c r="AC14" s="126"/>
      <c r="AD14" s="128"/>
      <c r="AE14" s="44"/>
      <c r="AF14" s="10"/>
      <c r="AG14" s="10"/>
      <c r="AH14" s="10"/>
    </row>
    <row r="15" spans="1:34" s="6" customFormat="1" ht="35.1" customHeight="1" x14ac:dyDescent="0.15">
      <c r="A15" s="196"/>
      <c r="B15" s="129" t="s">
        <v>24</v>
      </c>
      <c r="C15" s="118">
        <f t="shared" si="12"/>
        <v>32</v>
      </c>
      <c r="D15" s="119"/>
      <c r="E15" s="119">
        <v>1</v>
      </c>
      <c r="F15" s="119"/>
      <c r="G15" s="119"/>
      <c r="H15" s="125">
        <v>6</v>
      </c>
      <c r="I15" s="121"/>
      <c r="J15" s="121"/>
      <c r="K15" s="231">
        <v>1</v>
      </c>
      <c r="L15" s="232">
        <v>3</v>
      </c>
      <c r="M15" s="230"/>
      <c r="N15" s="230"/>
      <c r="O15" s="230">
        <v>1</v>
      </c>
      <c r="P15" s="233"/>
      <c r="Q15" s="230"/>
      <c r="R15" s="122"/>
      <c r="S15" s="243">
        <v>1</v>
      </c>
      <c r="T15" s="229">
        <v>9</v>
      </c>
      <c r="U15" s="230"/>
      <c r="V15" s="228"/>
      <c r="W15" s="229">
        <v>7</v>
      </c>
      <c r="X15" s="248"/>
      <c r="Y15" s="230">
        <v>0</v>
      </c>
      <c r="Z15" s="246">
        <v>1</v>
      </c>
      <c r="AA15" s="249">
        <v>1</v>
      </c>
      <c r="AB15" s="120"/>
      <c r="AC15" s="121">
        <v>1</v>
      </c>
      <c r="AD15" s="123"/>
      <c r="AE15" s="44"/>
      <c r="AF15" s="10"/>
      <c r="AG15" s="10"/>
      <c r="AH15" s="10"/>
    </row>
    <row r="16" spans="1:34" s="5" customFormat="1" ht="35.1" customHeight="1" x14ac:dyDescent="0.15">
      <c r="A16" s="196"/>
      <c r="B16" s="69" t="s">
        <v>1</v>
      </c>
      <c r="C16" s="118">
        <f t="shared" si="12"/>
        <v>32</v>
      </c>
      <c r="D16" s="124"/>
      <c r="E16" s="124"/>
      <c r="F16" s="124"/>
      <c r="G16" s="124">
        <v>1</v>
      </c>
      <c r="H16" s="125">
        <v>6</v>
      </c>
      <c r="I16" s="126"/>
      <c r="J16" s="126"/>
      <c r="K16" s="231">
        <v>1</v>
      </c>
      <c r="L16" s="232">
        <v>6</v>
      </c>
      <c r="M16" s="233"/>
      <c r="N16" s="233"/>
      <c r="O16" s="233"/>
      <c r="P16" s="233"/>
      <c r="Q16" s="233"/>
      <c r="R16" s="127"/>
      <c r="S16" s="243">
        <v>1</v>
      </c>
      <c r="T16" s="232">
        <v>5</v>
      </c>
      <c r="U16" s="250"/>
      <c r="V16" s="247"/>
      <c r="W16" s="244">
        <v>10</v>
      </c>
      <c r="X16" s="245"/>
      <c r="Y16" s="230">
        <v>0</v>
      </c>
      <c r="Z16" s="246">
        <v>1</v>
      </c>
      <c r="AA16" s="247">
        <v>1</v>
      </c>
      <c r="AB16" s="120"/>
      <c r="AC16" s="126"/>
      <c r="AD16" s="128">
        <v>0</v>
      </c>
      <c r="AE16" s="43"/>
      <c r="AF16" s="13"/>
      <c r="AG16" s="13"/>
      <c r="AH16" s="13"/>
    </row>
    <row r="17" spans="1:34" s="5" customFormat="1" ht="35.1" customHeight="1" x14ac:dyDescent="0.15">
      <c r="A17" s="196"/>
      <c r="B17" s="69" t="s">
        <v>2</v>
      </c>
      <c r="C17" s="118">
        <f t="shared" si="12"/>
        <v>28</v>
      </c>
      <c r="D17" s="124"/>
      <c r="E17" s="124"/>
      <c r="F17" s="124"/>
      <c r="G17" s="124">
        <v>1</v>
      </c>
      <c r="H17" s="125">
        <v>5</v>
      </c>
      <c r="I17" s="126"/>
      <c r="J17" s="126"/>
      <c r="K17" s="231">
        <v>1</v>
      </c>
      <c r="L17" s="232">
        <v>4</v>
      </c>
      <c r="M17" s="233"/>
      <c r="N17" s="233"/>
      <c r="O17" s="233">
        <v>1</v>
      </c>
      <c r="P17" s="233"/>
      <c r="Q17" s="233"/>
      <c r="R17" s="127"/>
      <c r="S17" s="243">
        <v>1</v>
      </c>
      <c r="T17" s="232">
        <v>6</v>
      </c>
      <c r="U17" s="250">
        <v>1</v>
      </c>
      <c r="V17" s="247"/>
      <c r="W17" s="244">
        <v>7</v>
      </c>
      <c r="X17" s="245"/>
      <c r="Y17" s="230"/>
      <c r="Z17" s="246"/>
      <c r="AA17" s="247">
        <v>1</v>
      </c>
      <c r="AB17" s="120">
        <v>0</v>
      </c>
      <c r="AC17" s="126"/>
      <c r="AD17" s="128"/>
      <c r="AE17" s="43"/>
      <c r="AF17" s="13"/>
      <c r="AG17" s="13"/>
      <c r="AH17" s="13"/>
    </row>
    <row r="18" spans="1:34" s="5" customFormat="1" ht="35.1" customHeight="1" x14ac:dyDescent="0.15">
      <c r="A18" s="196"/>
      <c r="B18" s="69" t="s">
        <v>25</v>
      </c>
      <c r="C18" s="118">
        <f t="shared" si="12"/>
        <v>25</v>
      </c>
      <c r="D18" s="124"/>
      <c r="E18" s="124"/>
      <c r="F18" s="124"/>
      <c r="G18" s="124">
        <v>1</v>
      </c>
      <c r="H18" s="125">
        <v>4</v>
      </c>
      <c r="I18" s="126"/>
      <c r="J18" s="126"/>
      <c r="K18" s="231">
        <v>1</v>
      </c>
      <c r="L18" s="232">
        <v>2</v>
      </c>
      <c r="M18" s="233"/>
      <c r="N18" s="233"/>
      <c r="O18" s="233"/>
      <c r="P18" s="233">
        <v>1</v>
      </c>
      <c r="Q18" s="233"/>
      <c r="R18" s="127"/>
      <c r="S18" s="243">
        <v>1</v>
      </c>
      <c r="T18" s="232">
        <v>7</v>
      </c>
      <c r="U18" s="250">
        <v>1</v>
      </c>
      <c r="V18" s="247"/>
      <c r="W18" s="232">
        <v>5</v>
      </c>
      <c r="X18" s="243"/>
      <c r="Y18" s="233"/>
      <c r="Z18" s="251">
        <v>1</v>
      </c>
      <c r="AA18" s="247">
        <v>1</v>
      </c>
      <c r="AB18" s="125"/>
      <c r="AC18" s="126"/>
      <c r="AD18" s="128"/>
      <c r="AE18" s="43"/>
      <c r="AF18" s="13"/>
      <c r="AG18" s="13"/>
      <c r="AH18" s="13"/>
    </row>
    <row r="19" spans="1:34" s="5" customFormat="1" ht="35.1" customHeight="1" thickBot="1" x14ac:dyDescent="0.2">
      <c r="A19" s="197"/>
      <c r="B19" s="135" t="s">
        <v>26</v>
      </c>
      <c r="C19" s="136">
        <f t="shared" si="12"/>
        <v>19</v>
      </c>
      <c r="D19" s="137"/>
      <c r="E19" s="137"/>
      <c r="F19" s="137"/>
      <c r="G19" s="137">
        <v>1</v>
      </c>
      <c r="H19" s="138">
        <v>4</v>
      </c>
      <c r="I19" s="139"/>
      <c r="J19" s="139"/>
      <c r="K19" s="238">
        <v>1</v>
      </c>
      <c r="L19" s="239">
        <v>1</v>
      </c>
      <c r="M19" s="240"/>
      <c r="N19" s="240"/>
      <c r="O19" s="240">
        <v>1</v>
      </c>
      <c r="P19" s="240"/>
      <c r="Q19" s="240"/>
      <c r="R19" s="140"/>
      <c r="S19" s="252">
        <v>1</v>
      </c>
      <c r="T19" s="239">
        <v>5</v>
      </c>
      <c r="U19" s="253"/>
      <c r="V19" s="254"/>
      <c r="W19" s="239">
        <v>2</v>
      </c>
      <c r="X19" s="252"/>
      <c r="Y19" s="240">
        <v>1</v>
      </c>
      <c r="Z19" s="255">
        <v>1</v>
      </c>
      <c r="AA19" s="254">
        <v>1</v>
      </c>
      <c r="AB19" s="138"/>
      <c r="AC19" s="139"/>
      <c r="AD19" s="141"/>
      <c r="AE19" s="46"/>
      <c r="AF19" s="13"/>
      <c r="AG19" s="13"/>
      <c r="AH19" s="13"/>
    </row>
    <row r="20" spans="1:34" s="2" customFormat="1" ht="23.25" customHeight="1" x14ac:dyDescent="0.15">
      <c r="AE20" s="15"/>
      <c r="AF20" s="15"/>
      <c r="AG20" s="15"/>
      <c r="AH20" s="15"/>
    </row>
    <row r="21" spans="1:34" s="2" customFormat="1" ht="23.25" customHeight="1" x14ac:dyDescent="0.15"/>
    <row r="22" spans="1:34" s="2" customFormat="1" ht="23.25" customHeight="1" x14ac:dyDescent="0.15"/>
    <row r="23" spans="1:34" s="2" customFormat="1" ht="23.25" customHeight="1" x14ac:dyDescent="0.15"/>
    <row r="24" spans="1:34" s="2" customFormat="1" ht="23.25" customHeight="1" x14ac:dyDescent="0.15"/>
    <row r="25" spans="1:34" s="2" customFormat="1" ht="23.25" customHeight="1" x14ac:dyDescent="0.15"/>
    <row r="26" spans="1:34" s="2" customFormat="1" ht="23.25" customHeight="1" x14ac:dyDescent="0.15"/>
    <row r="27" spans="1:34" s="2" customFormat="1" ht="23.25" customHeight="1" x14ac:dyDescent="0.15"/>
    <row r="28" spans="1:34" s="2" customFormat="1" ht="23.25" customHeight="1" x14ac:dyDescent="0.15"/>
    <row r="29" spans="1:34" s="2" customFormat="1" ht="23.25" customHeight="1" x14ac:dyDescent="0.15"/>
    <row r="30" spans="1:34" s="2" customFormat="1" ht="23.25" customHeight="1" x14ac:dyDescent="0.15"/>
    <row r="31" spans="1:34" s="2" customFormat="1" ht="23.25" customHeight="1" x14ac:dyDescent="0.15"/>
    <row r="32" spans="1:34" s="2" customFormat="1" ht="23.25" customHeight="1" x14ac:dyDescent="0.15"/>
    <row r="33" s="2" customFormat="1" ht="23.25" customHeight="1" x14ac:dyDescent="0.15"/>
    <row r="34" s="2" customFormat="1" ht="23.25" customHeight="1" x14ac:dyDescent="0.15"/>
    <row r="35" s="2" customFormat="1" ht="12" x14ac:dyDescent="0.15"/>
    <row r="36" s="2" customFormat="1" ht="12" x14ac:dyDescent="0.15"/>
    <row r="37" s="2" customFormat="1" ht="12" x14ac:dyDescent="0.15"/>
    <row r="38" s="2" customFormat="1" ht="12" x14ac:dyDescent="0.15"/>
    <row r="39" s="2" customFormat="1" ht="12" x14ac:dyDescent="0.15"/>
    <row r="40" s="2" customFormat="1" ht="12" x14ac:dyDescent="0.15"/>
    <row r="41" s="2" customFormat="1" ht="12" x14ac:dyDescent="0.15"/>
    <row r="42" s="2" customFormat="1" ht="12" x14ac:dyDescent="0.15"/>
    <row r="43" s="2" customFormat="1" ht="12" x14ac:dyDescent="0.15"/>
    <row r="44" s="2" customFormat="1" ht="12" x14ac:dyDescent="0.15"/>
    <row r="45" s="2" customFormat="1" ht="12" x14ac:dyDescent="0.15"/>
    <row r="46" s="2" customFormat="1" ht="12" x14ac:dyDescent="0.15"/>
    <row r="47" s="2" customFormat="1" ht="12" x14ac:dyDescent="0.15"/>
    <row r="48" s="2" customFormat="1" ht="12" x14ac:dyDescent="0.15"/>
  </sheetData>
  <mergeCells count="12">
    <mergeCell ref="A3:AD3"/>
    <mergeCell ref="A8:A12"/>
    <mergeCell ref="A13:A19"/>
    <mergeCell ref="W5:AA5"/>
    <mergeCell ref="AB5:AD5"/>
    <mergeCell ref="L5:S5"/>
    <mergeCell ref="A7:B7"/>
    <mergeCell ref="A5:B6"/>
    <mergeCell ref="C5:C6"/>
    <mergeCell ref="D5:D6"/>
    <mergeCell ref="H5:K5"/>
    <mergeCell ref="T5:V5"/>
  </mergeCells>
  <phoneticPr fontId="3" type="noConversion"/>
  <printOptions horizontalCentered="1"/>
  <pageMargins left="0.23622047244094491" right="0.23622047244094491" top="0.44" bottom="0.59055118110236227" header="0.22" footer="0.51181102362204722"/>
  <pageSetup paperSize="9" scale="4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(별표1)북부지방산림청 하부조직별 정원표-기준정원</vt:lpstr>
      <vt:lpstr>(별표1의1)북부지방산림청 하부조직별 정원표-운영정원</vt:lpstr>
      <vt:lpstr>'(별표1)북부지방산림청 하부조직별 정원표-기준정원'!Print_Area</vt:lpstr>
      <vt:lpstr>'(별표1의1)북부지방산림청 하부조직별 정원표-운영정원'!Print_Area</vt:lpstr>
      <vt:lpstr>'(별표1)북부지방산림청 하부조직별 정원표-기준정원'!Print_Titles</vt:lpstr>
      <vt:lpstr>'(별표1의1)북부지방산림청 하부조직별 정원표-운영정원'!Print_Titles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서유경</dc:creator>
  <cp:lastModifiedBy>User</cp:lastModifiedBy>
  <cp:lastPrinted>2025-12-21T00:03:27Z</cp:lastPrinted>
  <dcterms:created xsi:type="dcterms:W3CDTF">2002-07-25T08:38:09Z</dcterms:created>
  <dcterms:modified xsi:type="dcterms:W3CDTF">2026-01-29T08:24:09Z</dcterms:modified>
</cp:coreProperties>
</file>