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동부지방산림청작업폴더\★자체 훈령\정원훈령\20260219\"/>
    </mc:Choice>
  </mc:AlternateContent>
  <bookViews>
    <workbookView xWindow="0" yWindow="0" windowWidth="28800" windowHeight="12255"/>
  </bookViews>
  <sheets>
    <sheet name="동부 기준정원표" sheetId="2" r:id="rId1"/>
    <sheet name="동부 운영정원표" sheetId="6" r:id="rId2"/>
  </sheets>
  <definedNames>
    <definedName name="_xlnm.Print_Area" localSheetId="0">'동부 기준정원표'!$A$1:$AH$22</definedName>
    <definedName name="_xlnm.Print_Area" localSheetId="1">'동부 운영정원표'!$A$1:$AJ$22</definedName>
  </definedNames>
  <calcPr calcId="162913"/>
</workbook>
</file>

<file path=xl/calcChain.xml><?xml version="1.0" encoding="utf-8"?>
<calcChain xmlns="http://schemas.openxmlformats.org/spreadsheetml/2006/main">
  <c r="X15" i="6" l="1"/>
  <c r="P15" i="6"/>
  <c r="K15" i="6"/>
  <c r="K11" i="6"/>
  <c r="K10" i="6"/>
  <c r="V15" i="2"/>
  <c r="O15" i="2"/>
  <c r="K15" i="2"/>
  <c r="K10" i="2" s="1"/>
  <c r="K11" i="2"/>
  <c r="AA15" i="6" l="1"/>
  <c r="F15" i="6"/>
  <c r="G15" i="6"/>
  <c r="H15" i="6"/>
  <c r="I15" i="6"/>
  <c r="J15" i="6"/>
  <c r="L15" i="6"/>
  <c r="M15" i="6"/>
  <c r="N15" i="6"/>
  <c r="O15" i="6"/>
  <c r="Q15" i="6"/>
  <c r="R15" i="6"/>
  <c r="S15" i="6"/>
  <c r="T15" i="6"/>
  <c r="U15" i="6"/>
  <c r="V15" i="6"/>
  <c r="W15" i="6"/>
  <c r="Y15" i="6"/>
  <c r="Z15" i="6"/>
  <c r="E15" i="6"/>
  <c r="AH15" i="6" l="1"/>
  <c r="AJ15" i="6"/>
  <c r="AI15" i="6"/>
  <c r="AG15" i="6"/>
  <c r="AF15" i="6"/>
  <c r="AE15" i="6"/>
  <c r="AD15" i="6"/>
  <c r="AC15" i="6"/>
  <c r="AH16" i="6"/>
  <c r="AB16" i="6"/>
  <c r="D16" i="6"/>
  <c r="AH15" i="2"/>
  <c r="AG15" i="2"/>
  <c r="AE15" i="2"/>
  <c r="AD15" i="2"/>
  <c r="AC15" i="2"/>
  <c r="AB15" i="2"/>
  <c r="AA15" i="2"/>
  <c r="G15" i="2"/>
  <c r="H15" i="2"/>
  <c r="I15" i="2"/>
  <c r="J15" i="2"/>
  <c r="L15" i="2"/>
  <c r="M15" i="2"/>
  <c r="N15" i="2"/>
  <c r="P15" i="2"/>
  <c r="Q15" i="2"/>
  <c r="R15" i="2"/>
  <c r="S15" i="2"/>
  <c r="T15" i="2"/>
  <c r="U15" i="2"/>
  <c r="W15" i="2"/>
  <c r="X15" i="2"/>
  <c r="Y15" i="2"/>
  <c r="F15" i="2"/>
  <c r="E15" i="2"/>
  <c r="AF18" i="2"/>
  <c r="Z18" i="2"/>
  <c r="D18" i="2"/>
  <c r="C18" i="2"/>
  <c r="AF16" i="2"/>
  <c r="Z16" i="2"/>
  <c r="D16" i="2" s="1"/>
  <c r="C16" i="2" s="1"/>
  <c r="AF17" i="2"/>
  <c r="Z17" i="2"/>
  <c r="D17" i="2" s="1"/>
  <c r="C17" i="2" s="1"/>
  <c r="C16" i="6" l="1"/>
  <c r="AH22" i="6"/>
  <c r="AB22" i="6"/>
  <c r="D22" i="6" s="1"/>
  <c r="C22" i="6" s="1"/>
  <c r="AH21" i="6"/>
  <c r="AB21" i="6"/>
  <c r="D21" i="6"/>
  <c r="AH20" i="6"/>
  <c r="AB20" i="6"/>
  <c r="D20" i="6" s="1"/>
  <c r="C20" i="6" s="1"/>
  <c r="AH19" i="6"/>
  <c r="AB19" i="6"/>
  <c r="D19" i="6" s="1"/>
  <c r="C19" i="6" s="1"/>
  <c r="AH18" i="6"/>
  <c r="AB18" i="6"/>
  <c r="D18" i="6" s="1"/>
  <c r="AH17" i="6"/>
  <c r="AB17" i="6"/>
  <c r="AI10" i="6"/>
  <c r="AH14" i="6"/>
  <c r="AB14" i="6"/>
  <c r="D14" i="6"/>
  <c r="C14" i="6" s="1"/>
  <c r="AH13" i="6"/>
  <c r="AB13" i="6"/>
  <c r="D13" i="6"/>
  <c r="AH12" i="6"/>
  <c r="AB12" i="6"/>
  <c r="D12" i="6"/>
  <c r="AJ11" i="6"/>
  <c r="AI11" i="6"/>
  <c r="AG11" i="6"/>
  <c r="AF11" i="6"/>
  <c r="AE11" i="6"/>
  <c r="AD11" i="6"/>
  <c r="AC11" i="6"/>
  <c r="AA11" i="6"/>
  <c r="AA10" i="6" s="1"/>
  <c r="AA9" i="6" s="1"/>
  <c r="Z11" i="6"/>
  <c r="Z10" i="6" s="1"/>
  <c r="Z9" i="6" s="1"/>
  <c r="Y11" i="6"/>
  <c r="W11" i="6"/>
  <c r="W10" i="6" s="1"/>
  <c r="W9" i="6" s="1"/>
  <c r="V11" i="6"/>
  <c r="U11" i="6"/>
  <c r="U10" i="6" s="1"/>
  <c r="U9" i="6" s="1"/>
  <c r="T11" i="6"/>
  <c r="S11" i="6"/>
  <c r="R11" i="6"/>
  <c r="Q11" i="6"/>
  <c r="O11" i="6"/>
  <c r="O10" i="6" s="1"/>
  <c r="O9" i="6" s="1"/>
  <c r="N11" i="6"/>
  <c r="N10" i="6" s="1"/>
  <c r="N9" i="6" s="1"/>
  <c r="M11" i="6"/>
  <c r="M10" i="6" s="1"/>
  <c r="M9" i="6" s="1"/>
  <c r="L11" i="6"/>
  <c r="L10" i="6" s="1"/>
  <c r="J11" i="6"/>
  <c r="J10" i="6" s="1"/>
  <c r="J9" i="6" s="1"/>
  <c r="I11" i="6"/>
  <c r="H11" i="6"/>
  <c r="H10" i="6" s="1"/>
  <c r="H9" i="6" s="1"/>
  <c r="G11" i="6"/>
  <c r="G10" i="6" s="1"/>
  <c r="G9" i="6" s="1"/>
  <c r="F11" i="6"/>
  <c r="F10" i="6" s="1"/>
  <c r="F9" i="6" s="1"/>
  <c r="E11" i="6"/>
  <c r="AG10" i="6"/>
  <c r="AG9" i="6" s="1"/>
  <c r="AF10" i="6"/>
  <c r="AF9" i="6" s="1"/>
  <c r="AB8" i="6"/>
  <c r="D8" i="6"/>
  <c r="AB15" i="6" l="1"/>
  <c r="C21" i="6"/>
  <c r="C18" i="6"/>
  <c r="E10" i="6"/>
  <c r="E9" i="6" s="1"/>
  <c r="AE10" i="6"/>
  <c r="AE9" i="6" s="1"/>
  <c r="Q10" i="6"/>
  <c r="R10" i="6"/>
  <c r="R9" i="6" s="1"/>
  <c r="T10" i="6"/>
  <c r="T9" i="6" s="1"/>
  <c r="C8" i="6"/>
  <c r="AH11" i="6"/>
  <c r="AH10" i="6" s="1"/>
  <c r="AJ10" i="6"/>
  <c r="AB11" i="6"/>
  <c r="AD10" i="6"/>
  <c r="AD9" i="6" s="1"/>
  <c r="C13" i="6"/>
  <c r="AC10" i="6"/>
  <c r="AC9" i="6" s="1"/>
  <c r="I10" i="6"/>
  <c r="I9" i="6" s="1"/>
  <c r="V10" i="6"/>
  <c r="S10" i="6"/>
  <c r="Y10" i="6"/>
  <c r="D11" i="6"/>
  <c r="C12" i="6"/>
  <c r="D17" i="6"/>
  <c r="D15" i="6" s="1"/>
  <c r="AB10" i="6" l="1"/>
  <c r="AB9" i="6" s="1"/>
  <c r="C11" i="6"/>
  <c r="C17" i="6"/>
  <c r="C15" i="6" s="1"/>
  <c r="D10" i="6"/>
  <c r="D9" i="6" s="1"/>
  <c r="C10" i="6" l="1"/>
  <c r="C9" i="6" s="1"/>
  <c r="X11" i="2"/>
  <c r="X10" i="2" s="1"/>
  <c r="X9" i="2" s="1"/>
  <c r="W11" i="2"/>
  <c r="W10" i="2" s="1"/>
  <c r="U11" i="2"/>
  <c r="T11" i="2"/>
  <c r="U10" i="2" l="1"/>
  <c r="U9" i="2" s="1"/>
  <c r="T10" i="2"/>
  <c r="Q11" i="2"/>
  <c r="P11" i="2"/>
  <c r="N11" i="2"/>
  <c r="N10" i="2" l="1"/>
  <c r="N9" i="2" s="1"/>
  <c r="P10" i="2"/>
  <c r="Q10" i="2"/>
  <c r="Q9" i="2" s="1"/>
  <c r="L11" i="2"/>
  <c r="G11" i="2"/>
  <c r="G10" i="2" l="1"/>
  <c r="G9" i="2" s="1"/>
  <c r="L10" i="2"/>
  <c r="L9" i="2" s="1"/>
  <c r="AF12" i="2" l="1"/>
  <c r="AF14" i="2"/>
  <c r="AF20" i="2"/>
  <c r="AF21" i="2"/>
  <c r="AF22" i="2"/>
  <c r="Y11" i="2"/>
  <c r="AF19" i="2"/>
  <c r="AF15" i="2" s="1"/>
  <c r="AF13" i="2"/>
  <c r="AG11" i="2"/>
  <c r="AH11" i="2"/>
  <c r="AH10" i="2" l="1"/>
  <c r="AF11" i="2"/>
  <c r="AG10" i="2"/>
  <c r="Y10" i="2"/>
  <c r="AE11" i="2"/>
  <c r="AB11" i="2"/>
  <c r="AC11" i="2"/>
  <c r="AD11" i="2"/>
  <c r="AA11" i="2"/>
  <c r="F11" i="2"/>
  <c r="H11" i="2"/>
  <c r="I11" i="2"/>
  <c r="J11" i="2"/>
  <c r="M11" i="2"/>
  <c r="R11" i="2"/>
  <c r="S11" i="2"/>
  <c r="E11" i="2"/>
  <c r="AF10" i="2" l="1"/>
  <c r="Z12" i="2"/>
  <c r="D12" i="2" s="1"/>
  <c r="C12" i="2" s="1"/>
  <c r="Z8" i="2"/>
  <c r="D8" i="2"/>
  <c r="C8" i="2" l="1"/>
  <c r="M10" i="2"/>
  <c r="M9" i="2" s="1"/>
  <c r="AE10" i="2"/>
  <c r="AE9" i="2" s="1"/>
  <c r="AD10" i="2"/>
  <c r="AD9" i="2" s="1"/>
  <c r="AC10" i="2"/>
  <c r="AC9" i="2" s="1"/>
  <c r="AB10" i="2"/>
  <c r="AB9" i="2" s="1"/>
  <c r="Y9" i="2"/>
  <c r="AA10" i="2"/>
  <c r="AA9" i="2" s="1"/>
  <c r="Z22" i="2"/>
  <c r="D22" i="2" s="1"/>
  <c r="C22" i="2" s="1"/>
  <c r="Z21" i="2"/>
  <c r="D21" i="2" s="1"/>
  <c r="C21" i="2" s="1"/>
  <c r="Z20" i="2"/>
  <c r="Z19" i="2"/>
  <c r="D19" i="2" s="1"/>
  <c r="C19" i="2" s="1"/>
  <c r="S10" i="2"/>
  <c r="S9" i="2" s="1"/>
  <c r="R10" i="2"/>
  <c r="R9" i="2" s="1"/>
  <c r="I10" i="2"/>
  <c r="I9" i="2" s="1"/>
  <c r="F10" i="2"/>
  <c r="F9" i="2" s="1"/>
  <c r="E10" i="2"/>
  <c r="E9" i="2" s="1"/>
  <c r="Z14" i="2"/>
  <c r="D14" i="2" s="1"/>
  <c r="C14" i="2" s="1"/>
  <c r="Z13" i="2"/>
  <c r="D13" i="2" s="1"/>
  <c r="C13" i="2" s="1"/>
  <c r="D20" i="2" l="1"/>
  <c r="C20" i="2" s="1"/>
  <c r="C15" i="2" s="1"/>
  <c r="Z15" i="2"/>
  <c r="H10" i="2"/>
  <c r="H9" i="2" s="1"/>
  <c r="Z11" i="2"/>
  <c r="D11" i="2"/>
  <c r="C11" i="2"/>
  <c r="J10" i="2"/>
  <c r="J9" i="2" s="1"/>
  <c r="D15" i="2" l="1"/>
  <c r="D10" i="2" s="1"/>
  <c r="D9" i="2" s="1"/>
  <c r="Z10" i="2"/>
  <c r="Z9" i="2" s="1"/>
  <c r="C10" i="2"/>
  <c r="C9" i="2" s="1"/>
</calcChain>
</file>

<file path=xl/sharedStrings.xml><?xml version="1.0" encoding="utf-8"?>
<sst xmlns="http://schemas.openxmlformats.org/spreadsheetml/2006/main" count="128" uniqueCount="66">
  <si>
    <t>총
계</t>
    <phoneticPr fontId="2" type="noConversion"/>
  </si>
  <si>
    <t>계</t>
    <phoneticPr fontId="2" type="noConversion"/>
  </si>
  <si>
    <t>일
반
직
고
위
공
무
원</t>
    <phoneticPr fontId="2" type="noConversion"/>
  </si>
  <si>
    <t>동부지방산림청</t>
    <phoneticPr fontId="2" type="noConversion"/>
  </si>
  <si>
    <t>동부지방산림청 기준 정원표</t>
    <phoneticPr fontId="2" type="noConversion"/>
  </si>
  <si>
    <t>농
림
운
영
서
기
보</t>
  </si>
  <si>
    <t>사
무
운
영
서
기
보</t>
  </si>
  <si>
    <t>통
신
운
영
서
기</t>
  </si>
  <si>
    <t>통
신
운
영
서
기
보</t>
  </si>
  <si>
    <t xml:space="preserve">
                  직급별
  조직별</t>
    <phoneticPr fontId="2" type="noConversion"/>
  </si>
  <si>
    <t>4급</t>
    <phoneticPr fontId="2" type="noConversion"/>
  </si>
  <si>
    <t>4·5급</t>
    <phoneticPr fontId="2" type="noConversion"/>
  </si>
  <si>
    <t>5급</t>
    <phoneticPr fontId="2" type="noConversion"/>
  </si>
  <si>
    <t>6급</t>
    <phoneticPr fontId="2" type="noConversion"/>
  </si>
  <si>
    <t>7급</t>
    <phoneticPr fontId="2" type="noConversion"/>
  </si>
  <si>
    <t>8급</t>
    <phoneticPr fontId="2" type="noConversion"/>
  </si>
  <si>
    <t>9급</t>
    <phoneticPr fontId="2" type="noConversion"/>
  </si>
  <si>
    <t>계</t>
    <phoneticPr fontId="2" type="noConversion"/>
  </si>
  <si>
    <t>관리운영직군</t>
    <phoneticPr fontId="3" type="noConversion"/>
  </si>
  <si>
    <t>행임
정업
사사
무무
관관
또
는</t>
    <phoneticPr fontId="2" type="noConversion"/>
  </si>
  <si>
    <t>행또
정는
주 
사방
 · 재
임안
업전
주주
사사</t>
    <phoneticPr fontId="2" type="noConversion"/>
  </si>
  <si>
    <t>행임
정업
주주
사사
보보
또
는</t>
    <phoneticPr fontId="2" type="noConversion"/>
  </si>
  <si>
    <t>행임
정업
서서
기기
또
는</t>
    <phoneticPr fontId="2" type="noConversion"/>
  </si>
  <si>
    <t>공
업
서
기</t>
    <phoneticPr fontId="2" type="noConversion"/>
  </si>
  <si>
    <t>행임
정업
서서
기기
보보
또
는</t>
    <phoneticPr fontId="2" type="noConversion"/>
  </si>
  <si>
    <t>기
계
운
영
서
기</t>
    <phoneticPr fontId="2" type="noConversion"/>
  </si>
  <si>
    <t>방
송
통
신
서
기
보</t>
    <phoneticPr fontId="3" type="noConversion"/>
  </si>
  <si>
    <t>방
호
서
기
보</t>
    <phoneticPr fontId="2" type="noConversion"/>
  </si>
  <si>
    <t>시간선택제
채용공무원</t>
    <phoneticPr fontId="3" type="noConversion"/>
  </si>
  <si>
    <t>소
계</t>
    <phoneticPr fontId="3" type="noConversion"/>
  </si>
  <si>
    <t>9급</t>
    <phoneticPr fontId="3" type="noConversion"/>
  </si>
  <si>
    <t>운
전
서
기
보</t>
    <phoneticPr fontId="2" type="noConversion"/>
  </si>
  <si>
    <t>운
전
서
기
보</t>
    <phoneticPr fontId="3" type="noConversion"/>
  </si>
  <si>
    <t>일  반  직(시간선택제채용공무원 제외)</t>
    <phoneticPr fontId="2" type="noConversion"/>
  </si>
  <si>
    <t>소계</t>
    <phoneticPr fontId="2" type="noConversion"/>
  </si>
  <si>
    <t>국
유
림
관
리
소</t>
    <phoneticPr fontId="2" type="noConversion"/>
  </si>
  <si>
    <t>강릉</t>
    <phoneticPr fontId="2" type="noConversion"/>
  </si>
  <si>
    <t>삼척</t>
    <phoneticPr fontId="2" type="noConversion"/>
  </si>
  <si>
    <t>지
방
청</t>
    <phoneticPr fontId="2" type="noConversion"/>
  </si>
  <si>
    <t>방
송
통
신
서
기</t>
    <phoneticPr fontId="3" type="noConversion"/>
  </si>
  <si>
    <t>동부지방산림청</t>
    <phoneticPr fontId="2" type="noConversion"/>
  </si>
  <si>
    <t>산림경영과</t>
    <phoneticPr fontId="2" type="noConversion"/>
  </si>
  <si>
    <t>양양</t>
    <phoneticPr fontId="2" type="noConversion"/>
  </si>
  <si>
    <t>평창</t>
    <phoneticPr fontId="2" type="noConversion"/>
  </si>
  <si>
    <t>영월</t>
    <phoneticPr fontId="2" type="noConversion"/>
  </si>
  <si>
    <t>정선</t>
    <phoneticPr fontId="2" type="noConversion"/>
  </si>
  <si>
    <t>태백</t>
    <phoneticPr fontId="2" type="noConversion"/>
  </si>
  <si>
    <t>행임
정업
주주사사
또
는</t>
    <phoneticPr fontId="2" type="noConversion"/>
  </si>
  <si>
    <t>행또
정는
주 
사임
보업
 · 연
임구
업사
주
사
보</t>
    <phoneticPr fontId="2" type="noConversion"/>
  </si>
  <si>
    <t>동부지방산림청 운영 정원표</t>
    <phoneticPr fontId="2" type="noConversion"/>
  </si>
  <si>
    <t>공시업설
주주
사사
보보
또
는</t>
    <phoneticPr fontId="2" type="noConversion"/>
  </si>
  <si>
    <t>보
건
주
사
보</t>
    <phoneticPr fontId="2" type="noConversion"/>
  </si>
  <si>
    <t>운
전
주
사</t>
    <phoneticPr fontId="2" type="noConversion"/>
  </si>
  <si>
    <t>방
송
통
신
주
사
보</t>
    <phoneticPr fontId="3" type="noConversion"/>
  </si>
  <si>
    <t>&lt;별표 2&gt;</t>
    <phoneticPr fontId="3" type="noConversion"/>
  </si>
  <si>
    <t>&lt;별표 1&gt;</t>
    <phoneticPr fontId="3" type="noConversion"/>
  </si>
  <si>
    <t>행또
정는
주 
사시
보설
 · 주
임사
업보
주
사
보</t>
    <phoneticPr fontId="2" type="noConversion"/>
  </si>
  <si>
    <t>임업사무관
행정사무관 또는</t>
    <phoneticPr fontId="3" type="noConversion"/>
  </si>
  <si>
    <t>과학기술서기관 
서기관 또는</t>
    <phoneticPr fontId="2" type="noConversion"/>
  </si>
  <si>
    <t>행정사무관 또는 임업사무관
서기관·과학기술서기관·</t>
    <phoneticPr fontId="2" type="noConversion"/>
  </si>
  <si>
    <t>산림재난안전과</t>
    <phoneticPr fontId="2" type="noConversion"/>
  </si>
  <si>
    <t>운영재산관리팀</t>
    <phoneticPr fontId="2" type="noConversion"/>
  </si>
  <si>
    <t>임
업
서
기
보</t>
    <phoneticPr fontId="3" type="noConversion"/>
  </si>
  <si>
    <t>임
업
주
사
보</t>
    <phoneticPr fontId="3" type="noConversion"/>
  </si>
  <si>
    <t>임
업
주
사</t>
    <phoneticPr fontId="3" type="noConversion"/>
  </si>
  <si>
    <t>○ 2026.02.19.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</si>
</sst>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);[Red]\(#,##0\)"/>
    <numFmt numFmtId="177" formatCode="_-* #,##0.0_-;\-* #,##0.0_-;_-* &quot;-&quot;_-;_-@_-"/>
  </numFmts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b/>
      <sz val="8"/>
      <name val="바탕"/>
      <family val="1"/>
      <charset val="129"/>
    </font>
    <font>
      <sz val="8"/>
      <color theme="1"/>
      <name val="바탕"/>
      <family val="1"/>
      <charset val="129"/>
    </font>
    <font>
      <b/>
      <sz val="8"/>
      <color theme="1"/>
      <name val="바탕"/>
      <family val="1"/>
      <charset val="129"/>
    </font>
    <font>
      <sz val="9"/>
      <name val="바탕"/>
      <family val="1"/>
      <charset val="129"/>
    </font>
    <font>
      <b/>
      <sz val="22"/>
      <color theme="1"/>
      <name val="바탕"/>
      <family val="1"/>
      <charset val="129"/>
    </font>
    <font>
      <sz val="8"/>
      <color rgb="FF0000FF"/>
      <name val="바탕"/>
      <family val="1"/>
      <charset val="129"/>
    </font>
    <font>
      <sz val="12"/>
      <name val="바탕"/>
      <family val="1"/>
      <charset val="129"/>
    </font>
    <font>
      <sz val="10"/>
      <color theme="1"/>
      <name val="바탕"/>
      <family val="1"/>
      <charset val="129"/>
    </font>
    <font>
      <sz val="12"/>
      <color theme="1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48">
    <border>
      <left/>
      <right/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</cellStyleXfs>
  <cellXfs count="133">
    <xf numFmtId="0" fontId="0" fillId="0" borderId="0" xfId="0">
      <alignment vertical="center"/>
    </xf>
    <xf numFmtId="41" fontId="2" fillId="0" borderId="0" xfId="1" applyFont="1" applyFill="1" applyAlignment="1"/>
    <xf numFmtId="49" fontId="2" fillId="0" borderId="0" xfId="1" applyNumberFormat="1" applyFont="1" applyFill="1" applyAlignment="1"/>
    <xf numFmtId="41" fontId="4" fillId="2" borderId="0" xfId="1" applyFont="1" applyFill="1" applyBorder="1" applyAlignment="1">
      <alignment vertical="center"/>
    </xf>
    <xf numFmtId="41" fontId="4" fillId="0" borderId="0" xfId="1" applyFont="1" applyFill="1" applyBorder="1" applyAlignment="1">
      <alignment vertical="center"/>
    </xf>
    <xf numFmtId="41" fontId="7" fillId="0" borderId="0" xfId="1" applyFont="1" applyFill="1" applyBorder="1" applyAlignment="1">
      <alignment vertical="center"/>
    </xf>
    <xf numFmtId="41" fontId="2" fillId="0" borderId="0" xfId="1" applyFont="1" applyFill="1" applyBorder="1" applyAlignment="1">
      <alignment vertical="center"/>
    </xf>
    <xf numFmtId="41" fontId="6" fillId="2" borderId="6" xfId="1" applyFont="1" applyFill="1" applyBorder="1" applyAlignment="1">
      <alignment vertical="center"/>
    </xf>
    <xf numFmtId="41" fontId="6" fillId="2" borderId="24" xfId="1" applyFont="1" applyFill="1" applyBorder="1" applyAlignment="1">
      <alignment vertical="center"/>
    </xf>
    <xf numFmtId="176" fontId="5" fillId="0" borderId="10" xfId="1" applyNumberFormat="1" applyFont="1" applyFill="1" applyBorder="1" applyAlignment="1">
      <alignment horizontal="center" vertical="center" wrapText="1"/>
    </xf>
    <xf numFmtId="41" fontId="6" fillId="2" borderId="5" xfId="1" applyFont="1" applyFill="1" applyBorder="1" applyAlignment="1">
      <alignment vertical="center"/>
    </xf>
    <xf numFmtId="176" fontId="5" fillId="0" borderId="0" xfId="1" applyNumberFormat="1" applyFont="1" applyFill="1" applyBorder="1" applyAlignment="1">
      <alignment horizontal="center" vertical="center" wrapText="1"/>
    </xf>
    <xf numFmtId="41" fontId="5" fillId="0" borderId="0" xfId="1" applyFont="1" applyFill="1" applyAlignment="1"/>
    <xf numFmtId="41" fontId="5" fillId="0" borderId="0" xfId="1" applyFont="1" applyFill="1" applyBorder="1" applyAlignment="1">
      <alignment horizontal="center"/>
    </xf>
    <xf numFmtId="49" fontId="5" fillId="0" borderId="21" xfId="1" applyNumberFormat="1" applyFont="1" applyFill="1" applyBorder="1" applyAlignment="1">
      <alignment horizontal="left" vertical="top" textRotation="255" wrapText="1"/>
    </xf>
    <xf numFmtId="41" fontId="6" fillId="0" borderId="16" xfId="1" applyFont="1" applyFill="1" applyBorder="1" applyAlignment="1">
      <alignment horizontal="left" vertical="center"/>
    </xf>
    <xf numFmtId="41" fontId="5" fillId="0" borderId="16" xfId="1" applyFont="1" applyFill="1" applyBorder="1" applyAlignment="1">
      <alignment vertical="center"/>
    </xf>
    <xf numFmtId="41" fontId="5" fillId="0" borderId="28" xfId="1" applyFont="1" applyFill="1" applyBorder="1" applyAlignment="1">
      <alignment vertical="center"/>
    </xf>
    <xf numFmtId="41" fontId="6" fillId="0" borderId="7" xfId="1" applyFont="1" applyFill="1" applyBorder="1" applyAlignment="1">
      <alignment vertical="center"/>
    </xf>
    <xf numFmtId="41" fontId="5" fillId="0" borderId="31" xfId="1" applyFont="1" applyFill="1" applyBorder="1" applyAlignment="1">
      <alignment vertical="center"/>
    </xf>
    <xf numFmtId="41" fontId="9" fillId="0" borderId="12" xfId="1" applyFont="1" applyFill="1" applyBorder="1" applyAlignment="1">
      <alignment vertical="center"/>
    </xf>
    <xf numFmtId="41" fontId="5" fillId="3" borderId="14" xfId="1" applyFont="1" applyFill="1" applyBorder="1" applyAlignment="1">
      <alignment vertical="center"/>
    </xf>
    <xf numFmtId="41" fontId="5" fillId="3" borderId="12" xfId="1" applyFont="1" applyFill="1" applyBorder="1" applyAlignment="1">
      <alignment vertical="center"/>
    </xf>
    <xf numFmtId="41" fontId="5" fillId="0" borderId="12" xfId="1" applyFont="1" applyFill="1" applyBorder="1" applyAlignment="1">
      <alignment vertical="center"/>
    </xf>
    <xf numFmtId="41" fontId="5" fillId="0" borderId="12" xfId="1" applyFont="1" applyFill="1" applyBorder="1" applyAlignment="1">
      <alignment horizontal="center" vertical="center"/>
    </xf>
    <xf numFmtId="41" fontId="5" fillId="0" borderId="14" xfId="1" applyFont="1" applyFill="1" applyBorder="1" applyAlignment="1">
      <alignment vertical="center"/>
    </xf>
    <xf numFmtId="41" fontId="5" fillId="0" borderId="13" xfId="1" applyFont="1" applyFill="1" applyBorder="1" applyAlignment="1">
      <alignment vertical="center"/>
    </xf>
    <xf numFmtId="41" fontId="5" fillId="3" borderId="22" xfId="1" applyFont="1" applyFill="1" applyBorder="1" applyAlignment="1">
      <alignment vertical="center"/>
    </xf>
    <xf numFmtId="41" fontId="5" fillId="3" borderId="11" xfId="1" applyFont="1" applyFill="1" applyBorder="1" applyAlignment="1">
      <alignment vertical="center"/>
    </xf>
    <xf numFmtId="41" fontId="5" fillId="0" borderId="11" xfId="1" applyFont="1" applyFill="1" applyBorder="1" applyAlignment="1">
      <alignment vertical="center"/>
    </xf>
    <xf numFmtId="41" fontId="6" fillId="0" borderId="11" xfId="1" applyFont="1" applyFill="1" applyBorder="1" applyAlignment="1">
      <alignment vertical="center"/>
    </xf>
    <xf numFmtId="41" fontId="5" fillId="0" borderId="22" xfId="1" applyFont="1" applyFill="1" applyBorder="1" applyAlignment="1">
      <alignment vertical="center"/>
    </xf>
    <xf numFmtId="41" fontId="5" fillId="0" borderId="41" xfId="1" applyFont="1" applyFill="1" applyBorder="1" applyAlignment="1">
      <alignment vertical="center"/>
    </xf>
    <xf numFmtId="41" fontId="6" fillId="3" borderId="14" xfId="1" applyFont="1" applyFill="1" applyBorder="1" applyAlignment="1">
      <alignment vertical="center"/>
    </xf>
    <xf numFmtId="41" fontId="6" fillId="0" borderId="12" xfId="1" applyFont="1" applyFill="1" applyBorder="1" applyAlignment="1">
      <alignment vertical="center"/>
    </xf>
    <xf numFmtId="177" fontId="5" fillId="3" borderId="44" xfId="1" applyNumberFormat="1" applyFont="1" applyFill="1" applyBorder="1" applyAlignment="1">
      <alignment vertical="center"/>
    </xf>
    <xf numFmtId="41" fontId="5" fillId="0" borderId="26" xfId="1" applyFont="1" applyFill="1" applyBorder="1" applyAlignment="1">
      <alignment vertical="center"/>
    </xf>
    <xf numFmtId="177" fontId="5" fillId="0" borderId="12" xfId="1" applyNumberFormat="1" applyFont="1" applyFill="1" applyBorder="1" applyAlignment="1">
      <alignment vertical="center"/>
    </xf>
    <xf numFmtId="177" fontId="5" fillId="0" borderId="26" xfId="1" applyNumberFormat="1" applyFont="1" applyFill="1" applyBorder="1" applyAlignment="1">
      <alignment vertical="center"/>
    </xf>
    <xf numFmtId="177" fontId="5" fillId="3" borderId="25" xfId="1" applyNumberFormat="1" applyFont="1" applyFill="1" applyBorder="1" applyAlignment="1">
      <alignment vertical="center"/>
    </xf>
    <xf numFmtId="177" fontId="5" fillId="0" borderId="21" xfId="1" applyNumberFormat="1" applyFont="1" applyFill="1" applyBorder="1" applyAlignment="1">
      <alignment vertical="center"/>
    </xf>
    <xf numFmtId="177" fontId="5" fillId="0" borderId="38" xfId="1" applyNumberFormat="1" applyFont="1" applyFill="1" applyBorder="1" applyAlignment="1">
      <alignment vertical="center"/>
    </xf>
    <xf numFmtId="41" fontId="6" fillId="0" borderId="24" xfId="1" applyFont="1" applyFill="1" applyBorder="1" applyAlignment="1">
      <alignment vertical="center"/>
    </xf>
    <xf numFmtId="41" fontId="6" fillId="3" borderId="24" xfId="1" applyFont="1" applyFill="1" applyBorder="1" applyAlignment="1">
      <alignment vertical="center"/>
    </xf>
    <xf numFmtId="177" fontId="5" fillId="0" borderId="30" xfId="1" applyNumberFormat="1" applyFont="1" applyFill="1" applyBorder="1" applyAlignment="1">
      <alignment vertical="center"/>
    </xf>
    <xf numFmtId="177" fontId="5" fillId="0" borderId="13" xfId="1" applyNumberFormat="1" applyFont="1" applyFill="1" applyBorder="1" applyAlignment="1">
      <alignment vertical="center"/>
    </xf>
    <xf numFmtId="41" fontId="5" fillId="0" borderId="12" xfId="1" quotePrefix="1" applyFont="1" applyFill="1" applyBorder="1" applyAlignment="1">
      <alignment vertical="center"/>
    </xf>
    <xf numFmtId="41" fontId="5" fillId="0" borderId="33" xfId="1" applyFont="1" applyFill="1" applyBorder="1" applyAlignment="1">
      <alignment vertical="center"/>
    </xf>
    <xf numFmtId="41" fontId="6" fillId="0" borderId="33" xfId="1" applyFont="1" applyFill="1" applyBorder="1" applyAlignment="1">
      <alignment horizontal="center" vertical="center"/>
    </xf>
    <xf numFmtId="41" fontId="5" fillId="0" borderId="34" xfId="1" applyFont="1" applyFill="1" applyBorder="1" applyAlignment="1">
      <alignment vertical="center"/>
    </xf>
    <xf numFmtId="41" fontId="5" fillId="0" borderId="21" xfId="1" applyFont="1" applyFill="1" applyBorder="1" applyAlignment="1">
      <alignment vertical="center"/>
    </xf>
    <xf numFmtId="41" fontId="5" fillId="3" borderId="21" xfId="1" applyFont="1" applyFill="1" applyBorder="1" applyAlignment="1">
      <alignment vertical="center"/>
    </xf>
    <xf numFmtId="41" fontId="5" fillId="0" borderId="37" xfId="1" applyFont="1" applyFill="1" applyBorder="1" applyAlignment="1">
      <alignment vertical="center"/>
    </xf>
    <xf numFmtId="41" fontId="5" fillId="0" borderId="39" xfId="1" applyFont="1" applyFill="1" applyBorder="1" applyAlignment="1">
      <alignment vertical="center"/>
    </xf>
    <xf numFmtId="177" fontId="5" fillId="3" borderId="45" xfId="1" applyNumberFormat="1" applyFont="1" applyFill="1" applyBorder="1" applyAlignment="1">
      <alignment vertical="center"/>
    </xf>
    <xf numFmtId="41" fontId="5" fillId="0" borderId="38" xfId="1" applyFont="1" applyFill="1" applyBorder="1" applyAlignment="1">
      <alignment vertical="center"/>
    </xf>
    <xf numFmtId="41" fontId="5" fillId="3" borderId="24" xfId="1" applyFont="1" applyFill="1" applyBorder="1" applyAlignment="1">
      <alignment vertical="center"/>
    </xf>
    <xf numFmtId="41" fontId="6" fillId="0" borderId="4" xfId="1" applyFont="1" applyFill="1" applyBorder="1" applyAlignment="1">
      <alignment vertical="center"/>
    </xf>
    <xf numFmtId="41" fontId="5" fillId="3" borderId="43" xfId="1" applyFont="1" applyFill="1" applyBorder="1" applyAlignment="1">
      <alignment vertical="center"/>
    </xf>
    <xf numFmtId="41" fontId="5" fillId="0" borderId="0" xfId="1" applyFont="1" applyFill="1" applyBorder="1" applyAlignment="1">
      <alignment vertical="center"/>
    </xf>
    <xf numFmtId="49" fontId="5" fillId="0" borderId="12" xfId="1" applyNumberFormat="1" applyFont="1" applyFill="1" applyBorder="1" applyAlignment="1">
      <alignment horizontal="center" vertical="center"/>
    </xf>
    <xf numFmtId="49" fontId="5" fillId="0" borderId="21" xfId="2" applyNumberFormat="1" applyFont="1" applyFill="1" applyBorder="1" applyAlignment="1">
      <alignment horizontal="center" vertical="top" textRotation="255" wrapText="1"/>
    </xf>
    <xf numFmtId="49" fontId="5" fillId="0" borderId="37" xfId="2" applyNumberFormat="1" applyFont="1" applyFill="1" applyBorder="1" applyAlignment="1">
      <alignment horizontal="center" vertical="top" textRotation="255" wrapText="1"/>
    </xf>
    <xf numFmtId="49" fontId="5" fillId="0" borderId="21" xfId="1" applyNumberFormat="1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49" fontId="5" fillId="0" borderId="21" xfId="1" applyNumberFormat="1" applyFont="1" applyFill="1" applyBorder="1" applyAlignment="1">
      <alignment horizontal="center" vertical="top" wrapText="1"/>
    </xf>
    <xf numFmtId="49" fontId="5" fillId="0" borderId="11" xfId="1" applyNumberFormat="1" applyFont="1" applyFill="1" applyBorder="1" applyAlignment="1">
      <alignment horizontal="center" vertical="top" wrapText="1"/>
    </xf>
    <xf numFmtId="49" fontId="5" fillId="0" borderId="22" xfId="1" applyNumberFormat="1" applyFont="1" applyFill="1" applyBorder="1" applyAlignment="1">
      <alignment horizontal="center" vertical="top" wrapText="1"/>
    </xf>
    <xf numFmtId="49" fontId="5" fillId="0" borderId="41" xfId="1" applyNumberFormat="1" applyFont="1" applyFill="1" applyBorder="1" applyAlignment="1">
      <alignment horizontal="center" vertical="top" wrapText="1"/>
    </xf>
    <xf numFmtId="41" fontId="6" fillId="3" borderId="15" xfId="1" applyFont="1" applyFill="1" applyBorder="1" applyAlignment="1">
      <alignment vertical="center"/>
    </xf>
    <xf numFmtId="41" fontId="6" fillId="3" borderId="6" xfId="1" applyFont="1" applyFill="1" applyBorder="1" applyAlignment="1">
      <alignment vertical="center"/>
    </xf>
    <xf numFmtId="41" fontId="11" fillId="0" borderId="0" xfId="1" applyFont="1" applyFill="1" applyAlignment="1"/>
    <xf numFmtId="0" fontId="12" fillId="0" borderId="0" xfId="0" applyFont="1" applyFill="1" applyAlignment="1"/>
    <xf numFmtId="41" fontId="5" fillId="0" borderId="0" xfId="1" applyFont="1" applyFill="1" applyBorder="1" applyAlignment="1"/>
    <xf numFmtId="49" fontId="5" fillId="0" borderId="26" xfId="1" applyNumberFormat="1" applyFont="1" applyFill="1" applyBorder="1" applyAlignment="1">
      <alignment horizontal="center" vertical="top" wrapText="1"/>
    </xf>
    <xf numFmtId="41" fontId="6" fillId="2" borderId="44" xfId="1" applyFont="1" applyFill="1" applyBorder="1" applyAlignment="1">
      <alignment vertical="center"/>
    </xf>
    <xf numFmtId="41" fontId="6" fillId="2" borderId="12" xfId="1" applyFont="1" applyFill="1" applyBorder="1" applyAlignment="1">
      <alignment vertical="center"/>
    </xf>
    <xf numFmtId="41" fontId="6" fillId="2" borderId="26" xfId="1" applyFont="1" applyFill="1" applyBorder="1" applyAlignment="1">
      <alignment vertical="center"/>
    </xf>
    <xf numFmtId="49" fontId="5" fillId="0" borderId="44" xfId="1" applyNumberFormat="1" applyFont="1" applyFill="1" applyBorder="1" applyAlignment="1"/>
    <xf numFmtId="49" fontId="5" fillId="0" borderId="12" xfId="1" applyNumberFormat="1" applyFont="1" applyFill="1" applyBorder="1" applyAlignment="1"/>
    <xf numFmtId="49" fontId="5" fillId="0" borderId="26" xfId="1" applyNumberFormat="1" applyFont="1" applyFill="1" applyBorder="1" applyAlignment="1"/>
    <xf numFmtId="177" fontId="6" fillId="2" borderId="43" xfId="1" applyNumberFormat="1" applyFont="1" applyFill="1" applyBorder="1" applyAlignment="1">
      <alignment vertical="center"/>
    </xf>
    <xf numFmtId="177" fontId="6" fillId="2" borderId="24" xfId="1" applyNumberFormat="1" applyFont="1" applyFill="1" applyBorder="1" applyAlignment="1">
      <alignment vertical="center"/>
    </xf>
    <xf numFmtId="177" fontId="6" fillId="2" borderId="30" xfId="1" applyNumberFormat="1" applyFont="1" applyFill="1" applyBorder="1" applyAlignment="1">
      <alignment vertical="center"/>
    </xf>
    <xf numFmtId="177" fontId="6" fillId="3" borderId="44" xfId="1" applyNumberFormat="1" applyFont="1" applyFill="1" applyBorder="1" applyAlignment="1">
      <alignment vertical="center"/>
    </xf>
    <xf numFmtId="177" fontId="5" fillId="3" borderId="12" xfId="1" applyNumberFormat="1" applyFont="1" applyFill="1" applyBorder="1" applyAlignment="1">
      <alignment vertical="center"/>
    </xf>
    <xf numFmtId="177" fontId="6" fillId="3" borderId="26" xfId="1" applyNumberFormat="1" applyFont="1" applyFill="1" applyBorder="1" applyAlignment="1">
      <alignment vertical="center"/>
    </xf>
    <xf numFmtId="41" fontId="5" fillId="3" borderId="15" xfId="1" applyFont="1" applyFill="1" applyBorder="1" applyAlignment="1">
      <alignment vertical="center"/>
    </xf>
    <xf numFmtId="41" fontId="5" fillId="3" borderId="32" xfId="1" applyFont="1" applyFill="1" applyBorder="1" applyAlignment="1">
      <alignment vertical="center"/>
    </xf>
    <xf numFmtId="41" fontId="5" fillId="0" borderId="42" xfId="1" applyFont="1" applyFill="1" applyBorder="1" applyAlignment="1">
      <alignment vertical="center"/>
    </xf>
    <xf numFmtId="41" fontId="5" fillId="0" borderId="36" xfId="1" applyFont="1" applyFill="1" applyBorder="1" applyAlignment="1">
      <alignment vertical="center"/>
    </xf>
    <xf numFmtId="41" fontId="5" fillId="3" borderId="37" xfId="1" applyFont="1" applyFill="1" applyBorder="1" applyAlignment="1">
      <alignment vertical="center"/>
    </xf>
    <xf numFmtId="41" fontId="6" fillId="2" borderId="23" xfId="1" applyFont="1" applyFill="1" applyBorder="1" applyAlignment="1">
      <alignment vertical="center"/>
    </xf>
    <xf numFmtId="41" fontId="6" fillId="2" borderId="7" xfId="1" applyFont="1" applyFill="1" applyBorder="1" applyAlignment="1">
      <alignment vertical="center"/>
    </xf>
    <xf numFmtId="49" fontId="5" fillId="0" borderId="13" xfId="1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49" fontId="5" fillId="0" borderId="40" xfId="1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49" fontId="5" fillId="0" borderId="23" xfId="1" applyNumberFormat="1" applyFont="1" applyFill="1" applyBorder="1" applyAlignment="1">
      <alignment horizontal="center" vertical="center" wrapText="1"/>
    </xf>
    <xf numFmtId="49" fontId="5" fillId="0" borderId="5" xfId="1" applyNumberFormat="1" applyFont="1" applyFill="1" applyBorder="1" applyAlignment="1">
      <alignment horizontal="center" vertical="center"/>
    </xf>
    <xf numFmtId="49" fontId="5" fillId="0" borderId="7" xfId="1" applyNumberFormat="1" applyFont="1" applyFill="1" applyBorder="1" applyAlignment="1">
      <alignment horizontal="center" vertical="center"/>
    </xf>
    <xf numFmtId="49" fontId="5" fillId="0" borderId="25" xfId="1" applyNumberFormat="1" applyFont="1" applyFill="1" applyBorder="1" applyAlignment="1">
      <alignment horizontal="center" vertical="center" wrapText="1"/>
    </xf>
    <xf numFmtId="49" fontId="5" fillId="0" borderId="46" xfId="1" applyNumberFormat="1" applyFont="1" applyFill="1" applyBorder="1" applyAlignment="1">
      <alignment horizontal="center" vertical="center"/>
    </xf>
    <xf numFmtId="49" fontId="5" fillId="0" borderId="13" xfId="1" applyNumberFormat="1" applyFont="1" applyFill="1" applyBorder="1" applyAlignment="1">
      <alignment horizontal="center" vertical="center"/>
    </xf>
    <xf numFmtId="49" fontId="5" fillId="0" borderId="16" xfId="1" applyNumberFormat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vertical="top" wrapText="1"/>
    </xf>
    <xf numFmtId="0" fontId="5" fillId="0" borderId="2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  <xf numFmtId="0" fontId="5" fillId="0" borderId="17" xfId="0" applyFont="1" applyBorder="1" applyAlignment="1"/>
    <xf numFmtId="0" fontId="5" fillId="0" borderId="18" xfId="0" applyFont="1" applyBorder="1" applyAlignment="1"/>
    <xf numFmtId="49" fontId="5" fillId="0" borderId="3" xfId="1" applyNumberFormat="1" applyFont="1" applyFill="1" applyBorder="1" applyAlignment="1">
      <alignment horizontal="center" vertical="center" wrapText="1"/>
    </xf>
    <xf numFmtId="49" fontId="5" fillId="0" borderId="10" xfId="1" applyNumberFormat="1" applyFont="1" applyFill="1" applyBorder="1" applyAlignment="1">
      <alignment horizontal="center" vertical="center" wrapText="1"/>
    </xf>
    <xf numFmtId="49" fontId="5" fillId="0" borderId="19" xfId="1" applyNumberFormat="1" applyFont="1" applyFill="1" applyBorder="1" applyAlignment="1">
      <alignment horizontal="center" vertical="center" wrapText="1"/>
    </xf>
    <xf numFmtId="49" fontId="5" fillId="0" borderId="11" xfId="1" applyNumberFormat="1" applyFont="1" applyFill="1" applyBorder="1" applyAlignment="1">
      <alignment horizontal="center" vertical="center"/>
    </xf>
    <xf numFmtId="49" fontId="5" fillId="0" borderId="20" xfId="1" applyNumberFormat="1" applyFont="1" applyFill="1" applyBorder="1" applyAlignment="1">
      <alignment horizontal="center" vertical="center"/>
    </xf>
    <xf numFmtId="49" fontId="5" fillId="0" borderId="11" xfId="1" applyNumberFormat="1" applyFont="1" applyFill="1" applyBorder="1" applyAlignment="1">
      <alignment horizontal="center" vertical="center" wrapText="1"/>
    </xf>
    <xf numFmtId="49" fontId="5" fillId="0" borderId="20" xfId="1" applyNumberFormat="1" applyFont="1" applyFill="1" applyBorder="1" applyAlignment="1">
      <alignment horizontal="center" vertical="center" wrapText="1"/>
    </xf>
    <xf numFmtId="49" fontId="5" fillId="0" borderId="40" xfId="1" applyNumberFormat="1" applyFont="1" applyFill="1" applyBorder="1" applyAlignment="1">
      <alignment horizontal="center" vertical="center"/>
    </xf>
    <xf numFmtId="49" fontId="5" fillId="0" borderId="15" xfId="1" applyNumberFormat="1" applyFont="1" applyFill="1" applyBorder="1" applyAlignment="1">
      <alignment horizontal="center" vertical="center"/>
    </xf>
    <xf numFmtId="49" fontId="5" fillId="0" borderId="14" xfId="1" applyNumberFormat="1" applyFont="1" applyFill="1" applyBorder="1" applyAlignment="1">
      <alignment horizontal="center" vertical="center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12" xfId="1" applyNumberFormat="1" applyFont="1" applyFill="1" applyBorder="1" applyAlignment="1">
      <alignment horizontal="center" vertical="center" wrapText="1"/>
    </xf>
    <xf numFmtId="49" fontId="5" fillId="0" borderId="21" xfId="1" applyNumberFormat="1" applyFont="1" applyFill="1" applyBorder="1" applyAlignment="1"/>
    <xf numFmtId="41" fontId="6" fillId="2" borderId="23" xfId="1" applyFont="1" applyFill="1" applyBorder="1" applyAlignment="1">
      <alignment vertical="center"/>
    </xf>
    <xf numFmtId="41" fontId="6" fillId="2" borderId="7" xfId="1" applyFont="1" applyFill="1" applyBorder="1" applyAlignment="1">
      <alignment vertical="center"/>
    </xf>
    <xf numFmtId="0" fontId="5" fillId="0" borderId="25" xfId="1" applyNumberFormat="1" applyFont="1" applyFill="1" applyBorder="1" applyAlignment="1">
      <alignment horizontal="center" vertical="center" wrapText="1"/>
    </xf>
    <xf numFmtId="0" fontId="5" fillId="0" borderId="27" xfId="1" applyNumberFormat="1" applyFont="1" applyFill="1" applyBorder="1" applyAlignment="1">
      <alignment horizontal="center" vertical="center" wrapText="1"/>
    </xf>
    <xf numFmtId="0" fontId="5" fillId="0" borderId="27" xfId="1" applyNumberFormat="1" applyFont="1" applyFill="1" applyBorder="1" applyAlignment="1">
      <alignment horizontal="center" vertical="center"/>
    </xf>
    <xf numFmtId="0" fontId="5" fillId="0" borderId="29" xfId="1" applyNumberFormat="1" applyFont="1" applyFill="1" applyBorder="1" applyAlignment="1">
      <alignment horizontal="center" vertical="center" wrapText="1"/>
    </xf>
    <xf numFmtId="0" fontId="5" fillId="0" borderId="35" xfId="1" applyNumberFormat="1" applyFont="1" applyFill="1" applyBorder="1" applyAlignment="1">
      <alignment horizontal="center" vertical="center"/>
    </xf>
    <xf numFmtId="49" fontId="5" fillId="0" borderId="47" xfId="1" applyNumberFormat="1" applyFont="1" applyFill="1" applyBorder="1" applyAlignment="1">
      <alignment horizontal="center" vertical="center" wrapText="1"/>
    </xf>
    <xf numFmtId="49" fontId="5" fillId="0" borderId="37" xfId="1" applyNumberFormat="1" applyFont="1" applyFill="1" applyBorder="1" applyAlignment="1">
      <alignment horizontal="left" vertical="top" wrapText="1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2"/>
  <sheetViews>
    <sheetView showGridLines="0" tabSelected="1" view="pageBreakPreview" zoomScaleSheetLayoutView="100" workbookViewId="0">
      <pane xSplit="4" ySplit="10" topLeftCell="E11" activePane="bottomRight" state="frozen"/>
      <selection activeCell="Q12" sqref="Q12"/>
      <selection pane="topRight" activeCell="Q12" sqref="Q12"/>
      <selection pane="bottomLeft" activeCell="Q12" sqref="Q12"/>
      <selection pane="bottomRight" activeCell="A2" sqref="A2:AH2"/>
    </sheetView>
  </sheetViews>
  <sheetFormatPr defaultRowHeight="10.5" x14ac:dyDescent="0.15"/>
  <cols>
    <col min="1" max="1" width="3.21875" style="1" customWidth="1"/>
    <col min="2" max="2" width="13.77734375" style="1" customWidth="1"/>
    <col min="3" max="4" width="5.77734375" style="1" customWidth="1"/>
    <col min="5" max="6" width="3.77734375" style="1" customWidth="1"/>
    <col min="7" max="7" width="3.77734375" style="12" customWidth="1"/>
    <col min="8" max="34" width="3.77734375" style="1" customWidth="1"/>
    <col min="35" max="245" width="8.88671875" style="1"/>
    <col min="246" max="246" width="3.21875" style="1" customWidth="1"/>
    <col min="247" max="247" width="9.6640625" style="1" customWidth="1"/>
    <col min="248" max="248" width="5.5546875" style="1" bestFit="1" customWidth="1"/>
    <col min="249" max="249" width="4.88671875" style="1" customWidth="1"/>
    <col min="250" max="256" width="3.109375" style="1" customWidth="1"/>
    <col min="257" max="257" width="4.109375" style="1" customWidth="1"/>
    <col min="258" max="258" width="3.109375" style="1" customWidth="1"/>
    <col min="259" max="259" width="3.88671875" style="1" customWidth="1"/>
    <col min="260" max="261" width="3.109375" style="1" customWidth="1"/>
    <col min="262" max="262" width="4.44140625" style="1" bestFit="1" customWidth="1"/>
    <col min="263" max="264" width="4.6640625" style="1" bestFit="1" customWidth="1"/>
    <col min="265" max="265" width="3.88671875" style="1" customWidth="1"/>
    <col min="266" max="269" width="3" style="1" customWidth="1"/>
    <col min="270" max="274" width="3.109375" style="1" customWidth="1"/>
    <col min="275" max="275" width="4.33203125" style="1" customWidth="1"/>
    <col min="276" max="276" width="3.88671875" style="1" customWidth="1"/>
    <col min="277" max="277" width="3.77734375" style="1" customWidth="1"/>
    <col min="278" max="278" width="3.109375" style="1" customWidth="1"/>
    <col min="279" max="501" width="8.88671875" style="1"/>
    <col min="502" max="502" width="3.21875" style="1" customWidth="1"/>
    <col min="503" max="503" width="9.6640625" style="1" customWidth="1"/>
    <col min="504" max="504" width="5.5546875" style="1" bestFit="1" customWidth="1"/>
    <col min="505" max="505" width="4.88671875" style="1" customWidth="1"/>
    <col min="506" max="512" width="3.109375" style="1" customWidth="1"/>
    <col min="513" max="513" width="4.109375" style="1" customWidth="1"/>
    <col min="514" max="514" width="3.109375" style="1" customWidth="1"/>
    <col min="515" max="515" width="3.88671875" style="1" customWidth="1"/>
    <col min="516" max="517" width="3.109375" style="1" customWidth="1"/>
    <col min="518" max="518" width="4.44140625" style="1" bestFit="1" customWidth="1"/>
    <col min="519" max="520" width="4.6640625" style="1" bestFit="1" customWidth="1"/>
    <col min="521" max="521" width="3.88671875" style="1" customWidth="1"/>
    <col min="522" max="525" width="3" style="1" customWidth="1"/>
    <col min="526" max="530" width="3.109375" style="1" customWidth="1"/>
    <col min="531" max="531" width="4.33203125" style="1" customWidth="1"/>
    <col min="532" max="532" width="3.88671875" style="1" customWidth="1"/>
    <col min="533" max="533" width="3.77734375" style="1" customWidth="1"/>
    <col min="534" max="534" width="3.109375" style="1" customWidth="1"/>
    <col min="535" max="757" width="8.88671875" style="1"/>
    <col min="758" max="758" width="3.21875" style="1" customWidth="1"/>
    <col min="759" max="759" width="9.6640625" style="1" customWidth="1"/>
    <col min="760" max="760" width="5.5546875" style="1" bestFit="1" customWidth="1"/>
    <col min="761" max="761" width="4.88671875" style="1" customWidth="1"/>
    <col min="762" max="768" width="3.109375" style="1" customWidth="1"/>
    <col min="769" max="769" width="4.109375" style="1" customWidth="1"/>
    <col min="770" max="770" width="3.109375" style="1" customWidth="1"/>
    <col min="771" max="771" width="3.88671875" style="1" customWidth="1"/>
    <col min="772" max="773" width="3.109375" style="1" customWidth="1"/>
    <col min="774" max="774" width="4.44140625" style="1" bestFit="1" customWidth="1"/>
    <col min="775" max="776" width="4.6640625" style="1" bestFit="1" customWidth="1"/>
    <col min="777" max="777" width="3.88671875" style="1" customWidth="1"/>
    <col min="778" max="781" width="3" style="1" customWidth="1"/>
    <col min="782" max="786" width="3.109375" style="1" customWidth="1"/>
    <col min="787" max="787" width="4.33203125" style="1" customWidth="1"/>
    <col min="788" max="788" width="3.88671875" style="1" customWidth="1"/>
    <col min="789" max="789" width="3.77734375" style="1" customWidth="1"/>
    <col min="790" max="790" width="3.109375" style="1" customWidth="1"/>
    <col min="791" max="1013" width="8.88671875" style="1"/>
    <col min="1014" max="1014" width="3.21875" style="1" customWidth="1"/>
    <col min="1015" max="1015" width="9.6640625" style="1" customWidth="1"/>
    <col min="1016" max="1016" width="5.5546875" style="1" bestFit="1" customWidth="1"/>
    <col min="1017" max="1017" width="4.88671875" style="1" customWidth="1"/>
    <col min="1018" max="1024" width="3.109375" style="1" customWidth="1"/>
    <col min="1025" max="1025" width="4.109375" style="1" customWidth="1"/>
    <col min="1026" max="1026" width="3.109375" style="1" customWidth="1"/>
    <col min="1027" max="1027" width="3.88671875" style="1" customWidth="1"/>
    <col min="1028" max="1029" width="3.109375" style="1" customWidth="1"/>
    <col min="1030" max="1030" width="4.44140625" style="1" bestFit="1" customWidth="1"/>
    <col min="1031" max="1032" width="4.6640625" style="1" bestFit="1" customWidth="1"/>
    <col min="1033" max="1033" width="3.88671875" style="1" customWidth="1"/>
    <col min="1034" max="1037" width="3" style="1" customWidth="1"/>
    <col min="1038" max="1042" width="3.109375" style="1" customWidth="1"/>
    <col min="1043" max="1043" width="4.33203125" style="1" customWidth="1"/>
    <col min="1044" max="1044" width="3.88671875" style="1" customWidth="1"/>
    <col min="1045" max="1045" width="3.77734375" style="1" customWidth="1"/>
    <col min="1046" max="1046" width="3.109375" style="1" customWidth="1"/>
    <col min="1047" max="1269" width="8.88671875" style="1"/>
    <col min="1270" max="1270" width="3.21875" style="1" customWidth="1"/>
    <col min="1271" max="1271" width="9.6640625" style="1" customWidth="1"/>
    <col min="1272" max="1272" width="5.5546875" style="1" bestFit="1" customWidth="1"/>
    <col min="1273" max="1273" width="4.88671875" style="1" customWidth="1"/>
    <col min="1274" max="1280" width="3.109375" style="1" customWidth="1"/>
    <col min="1281" max="1281" width="4.109375" style="1" customWidth="1"/>
    <col min="1282" max="1282" width="3.109375" style="1" customWidth="1"/>
    <col min="1283" max="1283" width="3.88671875" style="1" customWidth="1"/>
    <col min="1284" max="1285" width="3.109375" style="1" customWidth="1"/>
    <col min="1286" max="1286" width="4.44140625" style="1" bestFit="1" customWidth="1"/>
    <col min="1287" max="1288" width="4.6640625" style="1" bestFit="1" customWidth="1"/>
    <col min="1289" max="1289" width="3.88671875" style="1" customWidth="1"/>
    <col min="1290" max="1293" width="3" style="1" customWidth="1"/>
    <col min="1294" max="1298" width="3.109375" style="1" customWidth="1"/>
    <col min="1299" max="1299" width="4.33203125" style="1" customWidth="1"/>
    <col min="1300" max="1300" width="3.88671875" style="1" customWidth="1"/>
    <col min="1301" max="1301" width="3.77734375" style="1" customWidth="1"/>
    <col min="1302" max="1302" width="3.109375" style="1" customWidth="1"/>
    <col min="1303" max="1525" width="8.88671875" style="1"/>
    <col min="1526" max="1526" width="3.21875" style="1" customWidth="1"/>
    <col min="1527" max="1527" width="9.6640625" style="1" customWidth="1"/>
    <col min="1528" max="1528" width="5.5546875" style="1" bestFit="1" customWidth="1"/>
    <col min="1529" max="1529" width="4.88671875" style="1" customWidth="1"/>
    <col min="1530" max="1536" width="3.109375" style="1" customWidth="1"/>
    <col min="1537" max="1537" width="4.109375" style="1" customWidth="1"/>
    <col min="1538" max="1538" width="3.109375" style="1" customWidth="1"/>
    <col min="1539" max="1539" width="3.88671875" style="1" customWidth="1"/>
    <col min="1540" max="1541" width="3.109375" style="1" customWidth="1"/>
    <col min="1542" max="1542" width="4.44140625" style="1" bestFit="1" customWidth="1"/>
    <col min="1543" max="1544" width="4.6640625" style="1" bestFit="1" customWidth="1"/>
    <col min="1545" max="1545" width="3.88671875" style="1" customWidth="1"/>
    <col min="1546" max="1549" width="3" style="1" customWidth="1"/>
    <col min="1550" max="1554" width="3.109375" style="1" customWidth="1"/>
    <col min="1555" max="1555" width="4.33203125" style="1" customWidth="1"/>
    <col min="1556" max="1556" width="3.88671875" style="1" customWidth="1"/>
    <col min="1557" max="1557" width="3.77734375" style="1" customWidth="1"/>
    <col min="1558" max="1558" width="3.109375" style="1" customWidth="1"/>
    <col min="1559" max="1781" width="8.88671875" style="1"/>
    <col min="1782" max="1782" width="3.21875" style="1" customWidth="1"/>
    <col min="1783" max="1783" width="9.6640625" style="1" customWidth="1"/>
    <col min="1784" max="1784" width="5.5546875" style="1" bestFit="1" customWidth="1"/>
    <col min="1785" max="1785" width="4.88671875" style="1" customWidth="1"/>
    <col min="1786" max="1792" width="3.109375" style="1" customWidth="1"/>
    <col min="1793" max="1793" width="4.109375" style="1" customWidth="1"/>
    <col min="1794" max="1794" width="3.109375" style="1" customWidth="1"/>
    <col min="1795" max="1795" width="3.88671875" style="1" customWidth="1"/>
    <col min="1796" max="1797" width="3.109375" style="1" customWidth="1"/>
    <col min="1798" max="1798" width="4.44140625" style="1" bestFit="1" customWidth="1"/>
    <col min="1799" max="1800" width="4.6640625" style="1" bestFit="1" customWidth="1"/>
    <col min="1801" max="1801" width="3.88671875" style="1" customWidth="1"/>
    <col min="1802" max="1805" width="3" style="1" customWidth="1"/>
    <col min="1806" max="1810" width="3.109375" style="1" customWidth="1"/>
    <col min="1811" max="1811" width="4.33203125" style="1" customWidth="1"/>
    <col min="1812" max="1812" width="3.88671875" style="1" customWidth="1"/>
    <col min="1813" max="1813" width="3.77734375" style="1" customWidth="1"/>
    <col min="1814" max="1814" width="3.109375" style="1" customWidth="1"/>
    <col min="1815" max="2037" width="8.88671875" style="1"/>
    <col min="2038" max="2038" width="3.21875" style="1" customWidth="1"/>
    <col min="2039" max="2039" width="9.6640625" style="1" customWidth="1"/>
    <col min="2040" max="2040" width="5.5546875" style="1" bestFit="1" customWidth="1"/>
    <col min="2041" max="2041" width="4.88671875" style="1" customWidth="1"/>
    <col min="2042" max="2048" width="3.109375" style="1" customWidth="1"/>
    <col min="2049" max="2049" width="4.109375" style="1" customWidth="1"/>
    <col min="2050" max="2050" width="3.109375" style="1" customWidth="1"/>
    <col min="2051" max="2051" width="3.88671875" style="1" customWidth="1"/>
    <col min="2052" max="2053" width="3.109375" style="1" customWidth="1"/>
    <col min="2054" max="2054" width="4.44140625" style="1" bestFit="1" customWidth="1"/>
    <col min="2055" max="2056" width="4.6640625" style="1" bestFit="1" customWidth="1"/>
    <col min="2057" max="2057" width="3.88671875" style="1" customWidth="1"/>
    <col min="2058" max="2061" width="3" style="1" customWidth="1"/>
    <col min="2062" max="2066" width="3.109375" style="1" customWidth="1"/>
    <col min="2067" max="2067" width="4.33203125" style="1" customWidth="1"/>
    <col min="2068" max="2068" width="3.88671875" style="1" customWidth="1"/>
    <col min="2069" max="2069" width="3.77734375" style="1" customWidth="1"/>
    <col min="2070" max="2070" width="3.109375" style="1" customWidth="1"/>
    <col min="2071" max="2293" width="8.88671875" style="1"/>
    <col min="2294" max="2294" width="3.21875" style="1" customWidth="1"/>
    <col min="2295" max="2295" width="9.6640625" style="1" customWidth="1"/>
    <col min="2296" max="2296" width="5.5546875" style="1" bestFit="1" customWidth="1"/>
    <col min="2297" max="2297" width="4.88671875" style="1" customWidth="1"/>
    <col min="2298" max="2304" width="3.109375" style="1" customWidth="1"/>
    <col min="2305" max="2305" width="4.109375" style="1" customWidth="1"/>
    <col min="2306" max="2306" width="3.109375" style="1" customWidth="1"/>
    <col min="2307" max="2307" width="3.88671875" style="1" customWidth="1"/>
    <col min="2308" max="2309" width="3.109375" style="1" customWidth="1"/>
    <col min="2310" max="2310" width="4.44140625" style="1" bestFit="1" customWidth="1"/>
    <col min="2311" max="2312" width="4.6640625" style="1" bestFit="1" customWidth="1"/>
    <col min="2313" max="2313" width="3.88671875" style="1" customWidth="1"/>
    <col min="2314" max="2317" width="3" style="1" customWidth="1"/>
    <col min="2318" max="2322" width="3.109375" style="1" customWidth="1"/>
    <col min="2323" max="2323" width="4.33203125" style="1" customWidth="1"/>
    <col min="2324" max="2324" width="3.88671875" style="1" customWidth="1"/>
    <col min="2325" max="2325" width="3.77734375" style="1" customWidth="1"/>
    <col min="2326" max="2326" width="3.109375" style="1" customWidth="1"/>
    <col min="2327" max="2549" width="8.88671875" style="1"/>
    <col min="2550" max="2550" width="3.21875" style="1" customWidth="1"/>
    <col min="2551" max="2551" width="9.6640625" style="1" customWidth="1"/>
    <col min="2552" max="2552" width="5.5546875" style="1" bestFit="1" customWidth="1"/>
    <col min="2553" max="2553" width="4.88671875" style="1" customWidth="1"/>
    <col min="2554" max="2560" width="3.109375" style="1" customWidth="1"/>
    <col min="2561" max="2561" width="4.109375" style="1" customWidth="1"/>
    <col min="2562" max="2562" width="3.109375" style="1" customWidth="1"/>
    <col min="2563" max="2563" width="3.88671875" style="1" customWidth="1"/>
    <col min="2564" max="2565" width="3.109375" style="1" customWidth="1"/>
    <col min="2566" max="2566" width="4.44140625" style="1" bestFit="1" customWidth="1"/>
    <col min="2567" max="2568" width="4.6640625" style="1" bestFit="1" customWidth="1"/>
    <col min="2569" max="2569" width="3.88671875" style="1" customWidth="1"/>
    <col min="2570" max="2573" width="3" style="1" customWidth="1"/>
    <col min="2574" max="2578" width="3.109375" style="1" customWidth="1"/>
    <col min="2579" max="2579" width="4.33203125" style="1" customWidth="1"/>
    <col min="2580" max="2580" width="3.88671875" style="1" customWidth="1"/>
    <col min="2581" max="2581" width="3.77734375" style="1" customWidth="1"/>
    <col min="2582" max="2582" width="3.109375" style="1" customWidth="1"/>
    <col min="2583" max="2805" width="8.88671875" style="1"/>
    <col min="2806" max="2806" width="3.21875" style="1" customWidth="1"/>
    <col min="2807" max="2807" width="9.6640625" style="1" customWidth="1"/>
    <col min="2808" max="2808" width="5.5546875" style="1" bestFit="1" customWidth="1"/>
    <col min="2809" max="2809" width="4.88671875" style="1" customWidth="1"/>
    <col min="2810" max="2816" width="3.109375" style="1" customWidth="1"/>
    <col min="2817" max="2817" width="4.109375" style="1" customWidth="1"/>
    <col min="2818" max="2818" width="3.109375" style="1" customWidth="1"/>
    <col min="2819" max="2819" width="3.88671875" style="1" customWidth="1"/>
    <col min="2820" max="2821" width="3.109375" style="1" customWidth="1"/>
    <col min="2822" max="2822" width="4.44140625" style="1" bestFit="1" customWidth="1"/>
    <col min="2823" max="2824" width="4.6640625" style="1" bestFit="1" customWidth="1"/>
    <col min="2825" max="2825" width="3.88671875" style="1" customWidth="1"/>
    <col min="2826" max="2829" width="3" style="1" customWidth="1"/>
    <col min="2830" max="2834" width="3.109375" style="1" customWidth="1"/>
    <col min="2835" max="2835" width="4.33203125" style="1" customWidth="1"/>
    <col min="2836" max="2836" width="3.88671875" style="1" customWidth="1"/>
    <col min="2837" max="2837" width="3.77734375" style="1" customWidth="1"/>
    <col min="2838" max="2838" width="3.109375" style="1" customWidth="1"/>
    <col min="2839" max="3061" width="8.88671875" style="1"/>
    <col min="3062" max="3062" width="3.21875" style="1" customWidth="1"/>
    <col min="3063" max="3063" width="9.6640625" style="1" customWidth="1"/>
    <col min="3064" max="3064" width="5.5546875" style="1" bestFit="1" customWidth="1"/>
    <col min="3065" max="3065" width="4.88671875" style="1" customWidth="1"/>
    <col min="3066" max="3072" width="3.109375" style="1" customWidth="1"/>
    <col min="3073" max="3073" width="4.109375" style="1" customWidth="1"/>
    <col min="3074" max="3074" width="3.109375" style="1" customWidth="1"/>
    <col min="3075" max="3075" width="3.88671875" style="1" customWidth="1"/>
    <col min="3076" max="3077" width="3.109375" style="1" customWidth="1"/>
    <col min="3078" max="3078" width="4.44140625" style="1" bestFit="1" customWidth="1"/>
    <col min="3079" max="3080" width="4.6640625" style="1" bestFit="1" customWidth="1"/>
    <col min="3081" max="3081" width="3.88671875" style="1" customWidth="1"/>
    <col min="3082" max="3085" width="3" style="1" customWidth="1"/>
    <col min="3086" max="3090" width="3.109375" style="1" customWidth="1"/>
    <col min="3091" max="3091" width="4.33203125" style="1" customWidth="1"/>
    <col min="3092" max="3092" width="3.88671875" style="1" customWidth="1"/>
    <col min="3093" max="3093" width="3.77734375" style="1" customWidth="1"/>
    <col min="3094" max="3094" width="3.109375" style="1" customWidth="1"/>
    <col min="3095" max="3317" width="8.88671875" style="1"/>
    <col min="3318" max="3318" width="3.21875" style="1" customWidth="1"/>
    <col min="3319" max="3319" width="9.6640625" style="1" customWidth="1"/>
    <col min="3320" max="3320" width="5.5546875" style="1" bestFit="1" customWidth="1"/>
    <col min="3321" max="3321" width="4.88671875" style="1" customWidth="1"/>
    <col min="3322" max="3328" width="3.109375" style="1" customWidth="1"/>
    <col min="3329" max="3329" width="4.109375" style="1" customWidth="1"/>
    <col min="3330" max="3330" width="3.109375" style="1" customWidth="1"/>
    <col min="3331" max="3331" width="3.88671875" style="1" customWidth="1"/>
    <col min="3332" max="3333" width="3.109375" style="1" customWidth="1"/>
    <col min="3334" max="3334" width="4.44140625" style="1" bestFit="1" customWidth="1"/>
    <col min="3335" max="3336" width="4.6640625" style="1" bestFit="1" customWidth="1"/>
    <col min="3337" max="3337" width="3.88671875" style="1" customWidth="1"/>
    <col min="3338" max="3341" width="3" style="1" customWidth="1"/>
    <col min="3342" max="3346" width="3.109375" style="1" customWidth="1"/>
    <col min="3347" max="3347" width="4.33203125" style="1" customWidth="1"/>
    <col min="3348" max="3348" width="3.88671875" style="1" customWidth="1"/>
    <col min="3349" max="3349" width="3.77734375" style="1" customWidth="1"/>
    <col min="3350" max="3350" width="3.109375" style="1" customWidth="1"/>
    <col min="3351" max="3573" width="8.88671875" style="1"/>
    <col min="3574" max="3574" width="3.21875" style="1" customWidth="1"/>
    <col min="3575" max="3575" width="9.6640625" style="1" customWidth="1"/>
    <col min="3576" max="3576" width="5.5546875" style="1" bestFit="1" customWidth="1"/>
    <col min="3577" max="3577" width="4.88671875" style="1" customWidth="1"/>
    <col min="3578" max="3584" width="3.109375" style="1" customWidth="1"/>
    <col min="3585" max="3585" width="4.109375" style="1" customWidth="1"/>
    <col min="3586" max="3586" width="3.109375" style="1" customWidth="1"/>
    <col min="3587" max="3587" width="3.88671875" style="1" customWidth="1"/>
    <col min="3588" max="3589" width="3.109375" style="1" customWidth="1"/>
    <col min="3590" max="3590" width="4.44140625" style="1" bestFit="1" customWidth="1"/>
    <col min="3591" max="3592" width="4.6640625" style="1" bestFit="1" customWidth="1"/>
    <col min="3593" max="3593" width="3.88671875" style="1" customWidth="1"/>
    <col min="3594" max="3597" width="3" style="1" customWidth="1"/>
    <col min="3598" max="3602" width="3.109375" style="1" customWidth="1"/>
    <col min="3603" max="3603" width="4.33203125" style="1" customWidth="1"/>
    <col min="3604" max="3604" width="3.88671875" style="1" customWidth="1"/>
    <col min="3605" max="3605" width="3.77734375" style="1" customWidth="1"/>
    <col min="3606" max="3606" width="3.109375" style="1" customWidth="1"/>
    <col min="3607" max="3829" width="8.88671875" style="1"/>
    <col min="3830" max="3830" width="3.21875" style="1" customWidth="1"/>
    <col min="3831" max="3831" width="9.6640625" style="1" customWidth="1"/>
    <col min="3832" max="3832" width="5.5546875" style="1" bestFit="1" customWidth="1"/>
    <col min="3833" max="3833" width="4.88671875" style="1" customWidth="1"/>
    <col min="3834" max="3840" width="3.109375" style="1" customWidth="1"/>
    <col min="3841" max="3841" width="4.109375" style="1" customWidth="1"/>
    <col min="3842" max="3842" width="3.109375" style="1" customWidth="1"/>
    <col min="3843" max="3843" width="3.88671875" style="1" customWidth="1"/>
    <col min="3844" max="3845" width="3.109375" style="1" customWidth="1"/>
    <col min="3846" max="3846" width="4.44140625" style="1" bestFit="1" customWidth="1"/>
    <col min="3847" max="3848" width="4.6640625" style="1" bestFit="1" customWidth="1"/>
    <col min="3849" max="3849" width="3.88671875" style="1" customWidth="1"/>
    <col min="3850" max="3853" width="3" style="1" customWidth="1"/>
    <col min="3854" max="3858" width="3.109375" style="1" customWidth="1"/>
    <col min="3859" max="3859" width="4.33203125" style="1" customWidth="1"/>
    <col min="3860" max="3860" width="3.88671875" style="1" customWidth="1"/>
    <col min="3861" max="3861" width="3.77734375" style="1" customWidth="1"/>
    <col min="3862" max="3862" width="3.109375" style="1" customWidth="1"/>
    <col min="3863" max="4085" width="8.88671875" style="1"/>
    <col min="4086" max="4086" width="3.21875" style="1" customWidth="1"/>
    <col min="4087" max="4087" width="9.6640625" style="1" customWidth="1"/>
    <col min="4088" max="4088" width="5.5546875" style="1" bestFit="1" customWidth="1"/>
    <col min="4089" max="4089" width="4.88671875" style="1" customWidth="1"/>
    <col min="4090" max="4096" width="3.109375" style="1" customWidth="1"/>
    <col min="4097" max="4097" width="4.109375" style="1" customWidth="1"/>
    <col min="4098" max="4098" width="3.109375" style="1" customWidth="1"/>
    <col min="4099" max="4099" width="3.88671875" style="1" customWidth="1"/>
    <col min="4100" max="4101" width="3.109375" style="1" customWidth="1"/>
    <col min="4102" max="4102" width="4.44140625" style="1" bestFit="1" customWidth="1"/>
    <col min="4103" max="4104" width="4.6640625" style="1" bestFit="1" customWidth="1"/>
    <col min="4105" max="4105" width="3.88671875" style="1" customWidth="1"/>
    <col min="4106" max="4109" width="3" style="1" customWidth="1"/>
    <col min="4110" max="4114" width="3.109375" style="1" customWidth="1"/>
    <col min="4115" max="4115" width="4.33203125" style="1" customWidth="1"/>
    <col min="4116" max="4116" width="3.88671875" style="1" customWidth="1"/>
    <col min="4117" max="4117" width="3.77734375" style="1" customWidth="1"/>
    <col min="4118" max="4118" width="3.109375" style="1" customWidth="1"/>
    <col min="4119" max="4341" width="8.88671875" style="1"/>
    <col min="4342" max="4342" width="3.21875" style="1" customWidth="1"/>
    <col min="4343" max="4343" width="9.6640625" style="1" customWidth="1"/>
    <col min="4344" max="4344" width="5.5546875" style="1" bestFit="1" customWidth="1"/>
    <col min="4345" max="4345" width="4.88671875" style="1" customWidth="1"/>
    <col min="4346" max="4352" width="3.109375" style="1" customWidth="1"/>
    <col min="4353" max="4353" width="4.109375" style="1" customWidth="1"/>
    <col min="4354" max="4354" width="3.109375" style="1" customWidth="1"/>
    <col min="4355" max="4355" width="3.88671875" style="1" customWidth="1"/>
    <col min="4356" max="4357" width="3.109375" style="1" customWidth="1"/>
    <col min="4358" max="4358" width="4.44140625" style="1" bestFit="1" customWidth="1"/>
    <col min="4359" max="4360" width="4.6640625" style="1" bestFit="1" customWidth="1"/>
    <col min="4361" max="4361" width="3.88671875" style="1" customWidth="1"/>
    <col min="4362" max="4365" width="3" style="1" customWidth="1"/>
    <col min="4366" max="4370" width="3.109375" style="1" customWidth="1"/>
    <col min="4371" max="4371" width="4.33203125" style="1" customWidth="1"/>
    <col min="4372" max="4372" width="3.88671875" style="1" customWidth="1"/>
    <col min="4373" max="4373" width="3.77734375" style="1" customWidth="1"/>
    <col min="4374" max="4374" width="3.109375" style="1" customWidth="1"/>
    <col min="4375" max="4597" width="8.88671875" style="1"/>
    <col min="4598" max="4598" width="3.21875" style="1" customWidth="1"/>
    <col min="4599" max="4599" width="9.6640625" style="1" customWidth="1"/>
    <col min="4600" max="4600" width="5.5546875" style="1" bestFit="1" customWidth="1"/>
    <col min="4601" max="4601" width="4.88671875" style="1" customWidth="1"/>
    <col min="4602" max="4608" width="3.109375" style="1" customWidth="1"/>
    <col min="4609" max="4609" width="4.109375" style="1" customWidth="1"/>
    <col min="4610" max="4610" width="3.109375" style="1" customWidth="1"/>
    <col min="4611" max="4611" width="3.88671875" style="1" customWidth="1"/>
    <col min="4612" max="4613" width="3.109375" style="1" customWidth="1"/>
    <col min="4614" max="4614" width="4.44140625" style="1" bestFit="1" customWidth="1"/>
    <col min="4615" max="4616" width="4.6640625" style="1" bestFit="1" customWidth="1"/>
    <col min="4617" max="4617" width="3.88671875" style="1" customWidth="1"/>
    <col min="4618" max="4621" width="3" style="1" customWidth="1"/>
    <col min="4622" max="4626" width="3.109375" style="1" customWidth="1"/>
    <col min="4627" max="4627" width="4.33203125" style="1" customWidth="1"/>
    <col min="4628" max="4628" width="3.88671875" style="1" customWidth="1"/>
    <col min="4629" max="4629" width="3.77734375" style="1" customWidth="1"/>
    <col min="4630" max="4630" width="3.109375" style="1" customWidth="1"/>
    <col min="4631" max="4853" width="8.88671875" style="1"/>
    <col min="4854" max="4854" width="3.21875" style="1" customWidth="1"/>
    <col min="4855" max="4855" width="9.6640625" style="1" customWidth="1"/>
    <col min="4856" max="4856" width="5.5546875" style="1" bestFit="1" customWidth="1"/>
    <col min="4857" max="4857" width="4.88671875" style="1" customWidth="1"/>
    <col min="4858" max="4864" width="3.109375" style="1" customWidth="1"/>
    <col min="4865" max="4865" width="4.109375" style="1" customWidth="1"/>
    <col min="4866" max="4866" width="3.109375" style="1" customWidth="1"/>
    <col min="4867" max="4867" width="3.88671875" style="1" customWidth="1"/>
    <col min="4868" max="4869" width="3.109375" style="1" customWidth="1"/>
    <col min="4870" max="4870" width="4.44140625" style="1" bestFit="1" customWidth="1"/>
    <col min="4871" max="4872" width="4.6640625" style="1" bestFit="1" customWidth="1"/>
    <col min="4873" max="4873" width="3.88671875" style="1" customWidth="1"/>
    <col min="4874" max="4877" width="3" style="1" customWidth="1"/>
    <col min="4878" max="4882" width="3.109375" style="1" customWidth="1"/>
    <col min="4883" max="4883" width="4.33203125" style="1" customWidth="1"/>
    <col min="4884" max="4884" width="3.88671875" style="1" customWidth="1"/>
    <col min="4885" max="4885" width="3.77734375" style="1" customWidth="1"/>
    <col min="4886" max="4886" width="3.109375" style="1" customWidth="1"/>
    <col min="4887" max="5109" width="8.88671875" style="1"/>
    <col min="5110" max="5110" width="3.21875" style="1" customWidth="1"/>
    <col min="5111" max="5111" width="9.6640625" style="1" customWidth="1"/>
    <col min="5112" max="5112" width="5.5546875" style="1" bestFit="1" customWidth="1"/>
    <col min="5113" max="5113" width="4.88671875" style="1" customWidth="1"/>
    <col min="5114" max="5120" width="3.109375" style="1" customWidth="1"/>
    <col min="5121" max="5121" width="4.109375" style="1" customWidth="1"/>
    <col min="5122" max="5122" width="3.109375" style="1" customWidth="1"/>
    <col min="5123" max="5123" width="3.88671875" style="1" customWidth="1"/>
    <col min="5124" max="5125" width="3.109375" style="1" customWidth="1"/>
    <col min="5126" max="5126" width="4.44140625" style="1" bestFit="1" customWidth="1"/>
    <col min="5127" max="5128" width="4.6640625" style="1" bestFit="1" customWidth="1"/>
    <col min="5129" max="5129" width="3.88671875" style="1" customWidth="1"/>
    <col min="5130" max="5133" width="3" style="1" customWidth="1"/>
    <col min="5134" max="5138" width="3.109375" style="1" customWidth="1"/>
    <col min="5139" max="5139" width="4.33203125" style="1" customWidth="1"/>
    <col min="5140" max="5140" width="3.88671875" style="1" customWidth="1"/>
    <col min="5141" max="5141" width="3.77734375" style="1" customWidth="1"/>
    <col min="5142" max="5142" width="3.109375" style="1" customWidth="1"/>
    <col min="5143" max="5365" width="8.88671875" style="1"/>
    <col min="5366" max="5366" width="3.21875" style="1" customWidth="1"/>
    <col min="5367" max="5367" width="9.6640625" style="1" customWidth="1"/>
    <col min="5368" max="5368" width="5.5546875" style="1" bestFit="1" customWidth="1"/>
    <col min="5369" max="5369" width="4.88671875" style="1" customWidth="1"/>
    <col min="5370" max="5376" width="3.109375" style="1" customWidth="1"/>
    <col min="5377" max="5377" width="4.109375" style="1" customWidth="1"/>
    <col min="5378" max="5378" width="3.109375" style="1" customWidth="1"/>
    <col min="5379" max="5379" width="3.88671875" style="1" customWidth="1"/>
    <col min="5380" max="5381" width="3.109375" style="1" customWidth="1"/>
    <col min="5382" max="5382" width="4.44140625" style="1" bestFit="1" customWidth="1"/>
    <col min="5383" max="5384" width="4.6640625" style="1" bestFit="1" customWidth="1"/>
    <col min="5385" max="5385" width="3.88671875" style="1" customWidth="1"/>
    <col min="5386" max="5389" width="3" style="1" customWidth="1"/>
    <col min="5390" max="5394" width="3.109375" style="1" customWidth="1"/>
    <col min="5395" max="5395" width="4.33203125" style="1" customWidth="1"/>
    <col min="5396" max="5396" width="3.88671875" style="1" customWidth="1"/>
    <col min="5397" max="5397" width="3.77734375" style="1" customWidth="1"/>
    <col min="5398" max="5398" width="3.109375" style="1" customWidth="1"/>
    <col min="5399" max="5621" width="8.88671875" style="1"/>
    <col min="5622" max="5622" width="3.21875" style="1" customWidth="1"/>
    <col min="5623" max="5623" width="9.6640625" style="1" customWidth="1"/>
    <col min="5624" max="5624" width="5.5546875" style="1" bestFit="1" customWidth="1"/>
    <col min="5625" max="5625" width="4.88671875" style="1" customWidth="1"/>
    <col min="5626" max="5632" width="3.109375" style="1" customWidth="1"/>
    <col min="5633" max="5633" width="4.109375" style="1" customWidth="1"/>
    <col min="5634" max="5634" width="3.109375" style="1" customWidth="1"/>
    <col min="5635" max="5635" width="3.88671875" style="1" customWidth="1"/>
    <col min="5636" max="5637" width="3.109375" style="1" customWidth="1"/>
    <col min="5638" max="5638" width="4.44140625" style="1" bestFit="1" customWidth="1"/>
    <col min="5639" max="5640" width="4.6640625" style="1" bestFit="1" customWidth="1"/>
    <col min="5641" max="5641" width="3.88671875" style="1" customWidth="1"/>
    <col min="5642" max="5645" width="3" style="1" customWidth="1"/>
    <col min="5646" max="5650" width="3.109375" style="1" customWidth="1"/>
    <col min="5651" max="5651" width="4.33203125" style="1" customWidth="1"/>
    <col min="5652" max="5652" width="3.88671875" style="1" customWidth="1"/>
    <col min="5653" max="5653" width="3.77734375" style="1" customWidth="1"/>
    <col min="5654" max="5654" width="3.109375" style="1" customWidth="1"/>
    <col min="5655" max="5877" width="8.88671875" style="1"/>
    <col min="5878" max="5878" width="3.21875" style="1" customWidth="1"/>
    <col min="5879" max="5879" width="9.6640625" style="1" customWidth="1"/>
    <col min="5880" max="5880" width="5.5546875" style="1" bestFit="1" customWidth="1"/>
    <col min="5881" max="5881" width="4.88671875" style="1" customWidth="1"/>
    <col min="5882" max="5888" width="3.109375" style="1" customWidth="1"/>
    <col min="5889" max="5889" width="4.109375" style="1" customWidth="1"/>
    <col min="5890" max="5890" width="3.109375" style="1" customWidth="1"/>
    <col min="5891" max="5891" width="3.88671875" style="1" customWidth="1"/>
    <col min="5892" max="5893" width="3.109375" style="1" customWidth="1"/>
    <col min="5894" max="5894" width="4.44140625" style="1" bestFit="1" customWidth="1"/>
    <col min="5895" max="5896" width="4.6640625" style="1" bestFit="1" customWidth="1"/>
    <col min="5897" max="5897" width="3.88671875" style="1" customWidth="1"/>
    <col min="5898" max="5901" width="3" style="1" customWidth="1"/>
    <col min="5902" max="5906" width="3.109375" style="1" customWidth="1"/>
    <col min="5907" max="5907" width="4.33203125" style="1" customWidth="1"/>
    <col min="5908" max="5908" width="3.88671875" style="1" customWidth="1"/>
    <col min="5909" max="5909" width="3.77734375" style="1" customWidth="1"/>
    <col min="5910" max="5910" width="3.109375" style="1" customWidth="1"/>
    <col min="5911" max="6133" width="8.88671875" style="1"/>
    <col min="6134" max="6134" width="3.21875" style="1" customWidth="1"/>
    <col min="6135" max="6135" width="9.6640625" style="1" customWidth="1"/>
    <col min="6136" max="6136" width="5.5546875" style="1" bestFit="1" customWidth="1"/>
    <col min="6137" max="6137" width="4.88671875" style="1" customWidth="1"/>
    <col min="6138" max="6144" width="3.109375" style="1" customWidth="1"/>
    <col min="6145" max="6145" width="4.109375" style="1" customWidth="1"/>
    <col min="6146" max="6146" width="3.109375" style="1" customWidth="1"/>
    <col min="6147" max="6147" width="3.88671875" style="1" customWidth="1"/>
    <col min="6148" max="6149" width="3.109375" style="1" customWidth="1"/>
    <col min="6150" max="6150" width="4.44140625" style="1" bestFit="1" customWidth="1"/>
    <col min="6151" max="6152" width="4.6640625" style="1" bestFit="1" customWidth="1"/>
    <col min="6153" max="6153" width="3.88671875" style="1" customWidth="1"/>
    <col min="6154" max="6157" width="3" style="1" customWidth="1"/>
    <col min="6158" max="6162" width="3.109375" style="1" customWidth="1"/>
    <col min="6163" max="6163" width="4.33203125" style="1" customWidth="1"/>
    <col min="6164" max="6164" width="3.88671875" style="1" customWidth="1"/>
    <col min="6165" max="6165" width="3.77734375" style="1" customWidth="1"/>
    <col min="6166" max="6166" width="3.109375" style="1" customWidth="1"/>
    <col min="6167" max="6389" width="8.88671875" style="1"/>
    <col min="6390" max="6390" width="3.21875" style="1" customWidth="1"/>
    <col min="6391" max="6391" width="9.6640625" style="1" customWidth="1"/>
    <col min="6392" max="6392" width="5.5546875" style="1" bestFit="1" customWidth="1"/>
    <col min="6393" max="6393" width="4.88671875" style="1" customWidth="1"/>
    <col min="6394" max="6400" width="3.109375" style="1" customWidth="1"/>
    <col min="6401" max="6401" width="4.109375" style="1" customWidth="1"/>
    <col min="6402" max="6402" width="3.109375" style="1" customWidth="1"/>
    <col min="6403" max="6403" width="3.88671875" style="1" customWidth="1"/>
    <col min="6404" max="6405" width="3.109375" style="1" customWidth="1"/>
    <col min="6406" max="6406" width="4.44140625" style="1" bestFit="1" customWidth="1"/>
    <col min="6407" max="6408" width="4.6640625" style="1" bestFit="1" customWidth="1"/>
    <col min="6409" max="6409" width="3.88671875" style="1" customWidth="1"/>
    <col min="6410" max="6413" width="3" style="1" customWidth="1"/>
    <col min="6414" max="6418" width="3.109375" style="1" customWidth="1"/>
    <col min="6419" max="6419" width="4.33203125" style="1" customWidth="1"/>
    <col min="6420" max="6420" width="3.88671875" style="1" customWidth="1"/>
    <col min="6421" max="6421" width="3.77734375" style="1" customWidth="1"/>
    <col min="6422" max="6422" width="3.109375" style="1" customWidth="1"/>
    <col min="6423" max="6645" width="8.88671875" style="1"/>
    <col min="6646" max="6646" width="3.21875" style="1" customWidth="1"/>
    <col min="6647" max="6647" width="9.6640625" style="1" customWidth="1"/>
    <col min="6648" max="6648" width="5.5546875" style="1" bestFit="1" customWidth="1"/>
    <col min="6649" max="6649" width="4.88671875" style="1" customWidth="1"/>
    <col min="6650" max="6656" width="3.109375" style="1" customWidth="1"/>
    <col min="6657" max="6657" width="4.109375" style="1" customWidth="1"/>
    <col min="6658" max="6658" width="3.109375" style="1" customWidth="1"/>
    <col min="6659" max="6659" width="3.88671875" style="1" customWidth="1"/>
    <col min="6660" max="6661" width="3.109375" style="1" customWidth="1"/>
    <col min="6662" max="6662" width="4.44140625" style="1" bestFit="1" customWidth="1"/>
    <col min="6663" max="6664" width="4.6640625" style="1" bestFit="1" customWidth="1"/>
    <col min="6665" max="6665" width="3.88671875" style="1" customWidth="1"/>
    <col min="6666" max="6669" width="3" style="1" customWidth="1"/>
    <col min="6670" max="6674" width="3.109375" style="1" customWidth="1"/>
    <col min="6675" max="6675" width="4.33203125" style="1" customWidth="1"/>
    <col min="6676" max="6676" width="3.88671875" style="1" customWidth="1"/>
    <col min="6677" max="6677" width="3.77734375" style="1" customWidth="1"/>
    <col min="6678" max="6678" width="3.109375" style="1" customWidth="1"/>
    <col min="6679" max="6901" width="8.88671875" style="1"/>
    <col min="6902" max="6902" width="3.21875" style="1" customWidth="1"/>
    <col min="6903" max="6903" width="9.6640625" style="1" customWidth="1"/>
    <col min="6904" max="6904" width="5.5546875" style="1" bestFit="1" customWidth="1"/>
    <col min="6905" max="6905" width="4.88671875" style="1" customWidth="1"/>
    <col min="6906" max="6912" width="3.109375" style="1" customWidth="1"/>
    <col min="6913" max="6913" width="4.109375" style="1" customWidth="1"/>
    <col min="6914" max="6914" width="3.109375" style="1" customWidth="1"/>
    <col min="6915" max="6915" width="3.88671875" style="1" customWidth="1"/>
    <col min="6916" max="6917" width="3.109375" style="1" customWidth="1"/>
    <col min="6918" max="6918" width="4.44140625" style="1" bestFit="1" customWidth="1"/>
    <col min="6919" max="6920" width="4.6640625" style="1" bestFit="1" customWidth="1"/>
    <col min="6921" max="6921" width="3.88671875" style="1" customWidth="1"/>
    <col min="6922" max="6925" width="3" style="1" customWidth="1"/>
    <col min="6926" max="6930" width="3.109375" style="1" customWidth="1"/>
    <col min="6931" max="6931" width="4.33203125" style="1" customWidth="1"/>
    <col min="6932" max="6932" width="3.88671875" style="1" customWidth="1"/>
    <col min="6933" max="6933" width="3.77734375" style="1" customWidth="1"/>
    <col min="6934" max="6934" width="3.109375" style="1" customWidth="1"/>
    <col min="6935" max="7157" width="8.88671875" style="1"/>
    <col min="7158" max="7158" width="3.21875" style="1" customWidth="1"/>
    <col min="7159" max="7159" width="9.6640625" style="1" customWidth="1"/>
    <col min="7160" max="7160" width="5.5546875" style="1" bestFit="1" customWidth="1"/>
    <col min="7161" max="7161" width="4.88671875" style="1" customWidth="1"/>
    <col min="7162" max="7168" width="3.109375" style="1" customWidth="1"/>
    <col min="7169" max="7169" width="4.109375" style="1" customWidth="1"/>
    <col min="7170" max="7170" width="3.109375" style="1" customWidth="1"/>
    <col min="7171" max="7171" width="3.88671875" style="1" customWidth="1"/>
    <col min="7172" max="7173" width="3.109375" style="1" customWidth="1"/>
    <col min="7174" max="7174" width="4.44140625" style="1" bestFit="1" customWidth="1"/>
    <col min="7175" max="7176" width="4.6640625" style="1" bestFit="1" customWidth="1"/>
    <col min="7177" max="7177" width="3.88671875" style="1" customWidth="1"/>
    <col min="7178" max="7181" width="3" style="1" customWidth="1"/>
    <col min="7182" max="7186" width="3.109375" style="1" customWidth="1"/>
    <col min="7187" max="7187" width="4.33203125" style="1" customWidth="1"/>
    <col min="7188" max="7188" width="3.88671875" style="1" customWidth="1"/>
    <col min="7189" max="7189" width="3.77734375" style="1" customWidth="1"/>
    <col min="7190" max="7190" width="3.109375" style="1" customWidth="1"/>
    <col min="7191" max="7413" width="8.88671875" style="1"/>
    <col min="7414" max="7414" width="3.21875" style="1" customWidth="1"/>
    <col min="7415" max="7415" width="9.6640625" style="1" customWidth="1"/>
    <col min="7416" max="7416" width="5.5546875" style="1" bestFit="1" customWidth="1"/>
    <col min="7417" max="7417" width="4.88671875" style="1" customWidth="1"/>
    <col min="7418" max="7424" width="3.109375" style="1" customWidth="1"/>
    <col min="7425" max="7425" width="4.109375" style="1" customWidth="1"/>
    <col min="7426" max="7426" width="3.109375" style="1" customWidth="1"/>
    <col min="7427" max="7427" width="3.88671875" style="1" customWidth="1"/>
    <col min="7428" max="7429" width="3.109375" style="1" customWidth="1"/>
    <col min="7430" max="7430" width="4.44140625" style="1" bestFit="1" customWidth="1"/>
    <col min="7431" max="7432" width="4.6640625" style="1" bestFit="1" customWidth="1"/>
    <col min="7433" max="7433" width="3.88671875" style="1" customWidth="1"/>
    <col min="7434" max="7437" width="3" style="1" customWidth="1"/>
    <col min="7438" max="7442" width="3.109375" style="1" customWidth="1"/>
    <col min="7443" max="7443" width="4.33203125" style="1" customWidth="1"/>
    <col min="7444" max="7444" width="3.88671875" style="1" customWidth="1"/>
    <col min="7445" max="7445" width="3.77734375" style="1" customWidth="1"/>
    <col min="7446" max="7446" width="3.109375" style="1" customWidth="1"/>
    <col min="7447" max="7669" width="8.88671875" style="1"/>
    <col min="7670" max="7670" width="3.21875" style="1" customWidth="1"/>
    <col min="7671" max="7671" width="9.6640625" style="1" customWidth="1"/>
    <col min="7672" max="7672" width="5.5546875" style="1" bestFit="1" customWidth="1"/>
    <col min="7673" max="7673" width="4.88671875" style="1" customWidth="1"/>
    <col min="7674" max="7680" width="3.109375" style="1" customWidth="1"/>
    <col min="7681" max="7681" width="4.109375" style="1" customWidth="1"/>
    <col min="7682" max="7682" width="3.109375" style="1" customWidth="1"/>
    <col min="7683" max="7683" width="3.88671875" style="1" customWidth="1"/>
    <col min="7684" max="7685" width="3.109375" style="1" customWidth="1"/>
    <col min="7686" max="7686" width="4.44140625" style="1" bestFit="1" customWidth="1"/>
    <col min="7687" max="7688" width="4.6640625" style="1" bestFit="1" customWidth="1"/>
    <col min="7689" max="7689" width="3.88671875" style="1" customWidth="1"/>
    <col min="7690" max="7693" width="3" style="1" customWidth="1"/>
    <col min="7694" max="7698" width="3.109375" style="1" customWidth="1"/>
    <col min="7699" max="7699" width="4.33203125" style="1" customWidth="1"/>
    <col min="7700" max="7700" width="3.88671875" style="1" customWidth="1"/>
    <col min="7701" max="7701" width="3.77734375" style="1" customWidth="1"/>
    <col min="7702" max="7702" width="3.109375" style="1" customWidth="1"/>
    <col min="7703" max="7925" width="8.88671875" style="1"/>
    <col min="7926" max="7926" width="3.21875" style="1" customWidth="1"/>
    <col min="7927" max="7927" width="9.6640625" style="1" customWidth="1"/>
    <col min="7928" max="7928" width="5.5546875" style="1" bestFit="1" customWidth="1"/>
    <col min="7929" max="7929" width="4.88671875" style="1" customWidth="1"/>
    <col min="7930" max="7936" width="3.109375" style="1" customWidth="1"/>
    <col min="7937" max="7937" width="4.109375" style="1" customWidth="1"/>
    <col min="7938" max="7938" width="3.109375" style="1" customWidth="1"/>
    <col min="7939" max="7939" width="3.88671875" style="1" customWidth="1"/>
    <col min="7940" max="7941" width="3.109375" style="1" customWidth="1"/>
    <col min="7942" max="7942" width="4.44140625" style="1" bestFit="1" customWidth="1"/>
    <col min="7943" max="7944" width="4.6640625" style="1" bestFit="1" customWidth="1"/>
    <col min="7945" max="7945" width="3.88671875" style="1" customWidth="1"/>
    <col min="7946" max="7949" width="3" style="1" customWidth="1"/>
    <col min="7950" max="7954" width="3.109375" style="1" customWidth="1"/>
    <col min="7955" max="7955" width="4.33203125" style="1" customWidth="1"/>
    <col min="7956" max="7956" width="3.88671875" style="1" customWidth="1"/>
    <col min="7957" max="7957" width="3.77734375" style="1" customWidth="1"/>
    <col min="7958" max="7958" width="3.109375" style="1" customWidth="1"/>
    <col min="7959" max="8181" width="8.88671875" style="1"/>
    <col min="8182" max="8182" width="3.21875" style="1" customWidth="1"/>
    <col min="8183" max="8183" width="9.6640625" style="1" customWidth="1"/>
    <col min="8184" max="8184" width="5.5546875" style="1" bestFit="1" customWidth="1"/>
    <col min="8185" max="8185" width="4.88671875" style="1" customWidth="1"/>
    <col min="8186" max="8192" width="3.109375" style="1" customWidth="1"/>
    <col min="8193" max="8193" width="4.109375" style="1" customWidth="1"/>
    <col min="8194" max="8194" width="3.109375" style="1" customWidth="1"/>
    <col min="8195" max="8195" width="3.88671875" style="1" customWidth="1"/>
    <col min="8196" max="8197" width="3.109375" style="1" customWidth="1"/>
    <col min="8198" max="8198" width="4.44140625" style="1" bestFit="1" customWidth="1"/>
    <col min="8199" max="8200" width="4.6640625" style="1" bestFit="1" customWidth="1"/>
    <col min="8201" max="8201" width="3.88671875" style="1" customWidth="1"/>
    <col min="8202" max="8205" width="3" style="1" customWidth="1"/>
    <col min="8206" max="8210" width="3.109375" style="1" customWidth="1"/>
    <col min="8211" max="8211" width="4.33203125" style="1" customWidth="1"/>
    <col min="8212" max="8212" width="3.88671875" style="1" customWidth="1"/>
    <col min="8213" max="8213" width="3.77734375" style="1" customWidth="1"/>
    <col min="8214" max="8214" width="3.109375" style="1" customWidth="1"/>
    <col min="8215" max="8437" width="8.88671875" style="1"/>
    <col min="8438" max="8438" width="3.21875" style="1" customWidth="1"/>
    <col min="8439" max="8439" width="9.6640625" style="1" customWidth="1"/>
    <col min="8440" max="8440" width="5.5546875" style="1" bestFit="1" customWidth="1"/>
    <col min="8441" max="8441" width="4.88671875" style="1" customWidth="1"/>
    <col min="8442" max="8448" width="3.109375" style="1" customWidth="1"/>
    <col min="8449" max="8449" width="4.109375" style="1" customWidth="1"/>
    <col min="8450" max="8450" width="3.109375" style="1" customWidth="1"/>
    <col min="8451" max="8451" width="3.88671875" style="1" customWidth="1"/>
    <col min="8452" max="8453" width="3.109375" style="1" customWidth="1"/>
    <col min="8454" max="8454" width="4.44140625" style="1" bestFit="1" customWidth="1"/>
    <col min="8455" max="8456" width="4.6640625" style="1" bestFit="1" customWidth="1"/>
    <col min="8457" max="8457" width="3.88671875" style="1" customWidth="1"/>
    <col min="8458" max="8461" width="3" style="1" customWidth="1"/>
    <col min="8462" max="8466" width="3.109375" style="1" customWidth="1"/>
    <col min="8467" max="8467" width="4.33203125" style="1" customWidth="1"/>
    <col min="8468" max="8468" width="3.88671875" style="1" customWidth="1"/>
    <col min="8469" max="8469" width="3.77734375" style="1" customWidth="1"/>
    <col min="8470" max="8470" width="3.109375" style="1" customWidth="1"/>
    <col min="8471" max="8693" width="8.88671875" style="1"/>
    <col min="8694" max="8694" width="3.21875" style="1" customWidth="1"/>
    <col min="8695" max="8695" width="9.6640625" style="1" customWidth="1"/>
    <col min="8696" max="8696" width="5.5546875" style="1" bestFit="1" customWidth="1"/>
    <col min="8697" max="8697" width="4.88671875" style="1" customWidth="1"/>
    <col min="8698" max="8704" width="3.109375" style="1" customWidth="1"/>
    <col min="8705" max="8705" width="4.109375" style="1" customWidth="1"/>
    <col min="8706" max="8706" width="3.109375" style="1" customWidth="1"/>
    <col min="8707" max="8707" width="3.88671875" style="1" customWidth="1"/>
    <col min="8708" max="8709" width="3.109375" style="1" customWidth="1"/>
    <col min="8710" max="8710" width="4.44140625" style="1" bestFit="1" customWidth="1"/>
    <col min="8711" max="8712" width="4.6640625" style="1" bestFit="1" customWidth="1"/>
    <col min="8713" max="8713" width="3.88671875" style="1" customWidth="1"/>
    <col min="8714" max="8717" width="3" style="1" customWidth="1"/>
    <col min="8718" max="8722" width="3.109375" style="1" customWidth="1"/>
    <col min="8723" max="8723" width="4.33203125" style="1" customWidth="1"/>
    <col min="8724" max="8724" width="3.88671875" style="1" customWidth="1"/>
    <col min="8725" max="8725" width="3.77734375" style="1" customWidth="1"/>
    <col min="8726" max="8726" width="3.109375" style="1" customWidth="1"/>
    <col min="8727" max="8949" width="8.88671875" style="1"/>
    <col min="8950" max="8950" width="3.21875" style="1" customWidth="1"/>
    <col min="8951" max="8951" width="9.6640625" style="1" customWidth="1"/>
    <col min="8952" max="8952" width="5.5546875" style="1" bestFit="1" customWidth="1"/>
    <col min="8953" max="8953" width="4.88671875" style="1" customWidth="1"/>
    <col min="8954" max="8960" width="3.109375" style="1" customWidth="1"/>
    <col min="8961" max="8961" width="4.109375" style="1" customWidth="1"/>
    <col min="8962" max="8962" width="3.109375" style="1" customWidth="1"/>
    <col min="8963" max="8963" width="3.88671875" style="1" customWidth="1"/>
    <col min="8964" max="8965" width="3.109375" style="1" customWidth="1"/>
    <col min="8966" max="8966" width="4.44140625" style="1" bestFit="1" customWidth="1"/>
    <col min="8967" max="8968" width="4.6640625" style="1" bestFit="1" customWidth="1"/>
    <col min="8969" max="8969" width="3.88671875" style="1" customWidth="1"/>
    <col min="8970" max="8973" width="3" style="1" customWidth="1"/>
    <col min="8974" max="8978" width="3.109375" style="1" customWidth="1"/>
    <col min="8979" max="8979" width="4.33203125" style="1" customWidth="1"/>
    <col min="8980" max="8980" width="3.88671875" style="1" customWidth="1"/>
    <col min="8981" max="8981" width="3.77734375" style="1" customWidth="1"/>
    <col min="8982" max="8982" width="3.109375" style="1" customWidth="1"/>
    <col min="8983" max="9205" width="8.88671875" style="1"/>
    <col min="9206" max="9206" width="3.21875" style="1" customWidth="1"/>
    <col min="9207" max="9207" width="9.6640625" style="1" customWidth="1"/>
    <col min="9208" max="9208" width="5.5546875" style="1" bestFit="1" customWidth="1"/>
    <col min="9209" max="9209" width="4.88671875" style="1" customWidth="1"/>
    <col min="9210" max="9216" width="3.109375" style="1" customWidth="1"/>
    <col min="9217" max="9217" width="4.109375" style="1" customWidth="1"/>
    <col min="9218" max="9218" width="3.109375" style="1" customWidth="1"/>
    <col min="9219" max="9219" width="3.88671875" style="1" customWidth="1"/>
    <col min="9220" max="9221" width="3.109375" style="1" customWidth="1"/>
    <col min="9222" max="9222" width="4.44140625" style="1" bestFit="1" customWidth="1"/>
    <col min="9223" max="9224" width="4.6640625" style="1" bestFit="1" customWidth="1"/>
    <col min="9225" max="9225" width="3.88671875" style="1" customWidth="1"/>
    <col min="9226" max="9229" width="3" style="1" customWidth="1"/>
    <col min="9230" max="9234" width="3.109375" style="1" customWidth="1"/>
    <col min="9235" max="9235" width="4.33203125" style="1" customWidth="1"/>
    <col min="9236" max="9236" width="3.88671875" style="1" customWidth="1"/>
    <col min="9237" max="9237" width="3.77734375" style="1" customWidth="1"/>
    <col min="9238" max="9238" width="3.109375" style="1" customWidth="1"/>
    <col min="9239" max="9461" width="8.88671875" style="1"/>
    <col min="9462" max="9462" width="3.21875" style="1" customWidth="1"/>
    <col min="9463" max="9463" width="9.6640625" style="1" customWidth="1"/>
    <col min="9464" max="9464" width="5.5546875" style="1" bestFit="1" customWidth="1"/>
    <col min="9465" max="9465" width="4.88671875" style="1" customWidth="1"/>
    <col min="9466" max="9472" width="3.109375" style="1" customWidth="1"/>
    <col min="9473" max="9473" width="4.109375" style="1" customWidth="1"/>
    <col min="9474" max="9474" width="3.109375" style="1" customWidth="1"/>
    <col min="9475" max="9475" width="3.88671875" style="1" customWidth="1"/>
    <col min="9476" max="9477" width="3.109375" style="1" customWidth="1"/>
    <col min="9478" max="9478" width="4.44140625" style="1" bestFit="1" customWidth="1"/>
    <col min="9479" max="9480" width="4.6640625" style="1" bestFit="1" customWidth="1"/>
    <col min="9481" max="9481" width="3.88671875" style="1" customWidth="1"/>
    <col min="9482" max="9485" width="3" style="1" customWidth="1"/>
    <col min="9486" max="9490" width="3.109375" style="1" customWidth="1"/>
    <col min="9491" max="9491" width="4.33203125" style="1" customWidth="1"/>
    <col min="9492" max="9492" width="3.88671875" style="1" customWidth="1"/>
    <col min="9493" max="9493" width="3.77734375" style="1" customWidth="1"/>
    <col min="9494" max="9494" width="3.109375" style="1" customWidth="1"/>
    <col min="9495" max="9717" width="8.88671875" style="1"/>
    <col min="9718" max="9718" width="3.21875" style="1" customWidth="1"/>
    <col min="9719" max="9719" width="9.6640625" style="1" customWidth="1"/>
    <col min="9720" max="9720" width="5.5546875" style="1" bestFit="1" customWidth="1"/>
    <col min="9721" max="9721" width="4.88671875" style="1" customWidth="1"/>
    <col min="9722" max="9728" width="3.109375" style="1" customWidth="1"/>
    <col min="9729" max="9729" width="4.109375" style="1" customWidth="1"/>
    <col min="9730" max="9730" width="3.109375" style="1" customWidth="1"/>
    <col min="9731" max="9731" width="3.88671875" style="1" customWidth="1"/>
    <col min="9732" max="9733" width="3.109375" style="1" customWidth="1"/>
    <col min="9734" max="9734" width="4.44140625" style="1" bestFit="1" customWidth="1"/>
    <col min="9735" max="9736" width="4.6640625" style="1" bestFit="1" customWidth="1"/>
    <col min="9737" max="9737" width="3.88671875" style="1" customWidth="1"/>
    <col min="9738" max="9741" width="3" style="1" customWidth="1"/>
    <col min="9742" max="9746" width="3.109375" style="1" customWidth="1"/>
    <col min="9747" max="9747" width="4.33203125" style="1" customWidth="1"/>
    <col min="9748" max="9748" width="3.88671875" style="1" customWidth="1"/>
    <col min="9749" max="9749" width="3.77734375" style="1" customWidth="1"/>
    <col min="9750" max="9750" width="3.109375" style="1" customWidth="1"/>
    <col min="9751" max="9973" width="8.88671875" style="1"/>
    <col min="9974" max="9974" width="3.21875" style="1" customWidth="1"/>
    <col min="9975" max="9975" width="9.6640625" style="1" customWidth="1"/>
    <col min="9976" max="9976" width="5.5546875" style="1" bestFit="1" customWidth="1"/>
    <col min="9977" max="9977" width="4.88671875" style="1" customWidth="1"/>
    <col min="9978" max="9984" width="3.109375" style="1" customWidth="1"/>
    <col min="9985" max="9985" width="4.109375" style="1" customWidth="1"/>
    <col min="9986" max="9986" width="3.109375" style="1" customWidth="1"/>
    <col min="9987" max="9987" width="3.88671875" style="1" customWidth="1"/>
    <col min="9988" max="9989" width="3.109375" style="1" customWidth="1"/>
    <col min="9990" max="9990" width="4.44140625" style="1" bestFit="1" customWidth="1"/>
    <col min="9991" max="9992" width="4.6640625" style="1" bestFit="1" customWidth="1"/>
    <col min="9993" max="9993" width="3.88671875" style="1" customWidth="1"/>
    <col min="9994" max="9997" width="3" style="1" customWidth="1"/>
    <col min="9998" max="10002" width="3.109375" style="1" customWidth="1"/>
    <col min="10003" max="10003" width="4.33203125" style="1" customWidth="1"/>
    <col min="10004" max="10004" width="3.88671875" style="1" customWidth="1"/>
    <col min="10005" max="10005" width="3.77734375" style="1" customWidth="1"/>
    <col min="10006" max="10006" width="3.109375" style="1" customWidth="1"/>
    <col min="10007" max="10229" width="8.88671875" style="1"/>
    <col min="10230" max="10230" width="3.21875" style="1" customWidth="1"/>
    <col min="10231" max="10231" width="9.6640625" style="1" customWidth="1"/>
    <col min="10232" max="10232" width="5.5546875" style="1" bestFit="1" customWidth="1"/>
    <col min="10233" max="10233" width="4.88671875" style="1" customWidth="1"/>
    <col min="10234" max="10240" width="3.109375" style="1" customWidth="1"/>
    <col min="10241" max="10241" width="4.109375" style="1" customWidth="1"/>
    <col min="10242" max="10242" width="3.109375" style="1" customWidth="1"/>
    <col min="10243" max="10243" width="3.88671875" style="1" customWidth="1"/>
    <col min="10244" max="10245" width="3.109375" style="1" customWidth="1"/>
    <col min="10246" max="10246" width="4.44140625" style="1" bestFit="1" customWidth="1"/>
    <col min="10247" max="10248" width="4.6640625" style="1" bestFit="1" customWidth="1"/>
    <col min="10249" max="10249" width="3.88671875" style="1" customWidth="1"/>
    <col min="10250" max="10253" width="3" style="1" customWidth="1"/>
    <col min="10254" max="10258" width="3.109375" style="1" customWidth="1"/>
    <col min="10259" max="10259" width="4.33203125" style="1" customWidth="1"/>
    <col min="10260" max="10260" width="3.88671875" style="1" customWidth="1"/>
    <col min="10261" max="10261" width="3.77734375" style="1" customWidth="1"/>
    <col min="10262" max="10262" width="3.109375" style="1" customWidth="1"/>
    <col min="10263" max="10485" width="8.88671875" style="1"/>
    <col min="10486" max="10486" width="3.21875" style="1" customWidth="1"/>
    <col min="10487" max="10487" width="9.6640625" style="1" customWidth="1"/>
    <col min="10488" max="10488" width="5.5546875" style="1" bestFit="1" customWidth="1"/>
    <col min="10489" max="10489" width="4.88671875" style="1" customWidth="1"/>
    <col min="10490" max="10496" width="3.109375" style="1" customWidth="1"/>
    <col min="10497" max="10497" width="4.109375" style="1" customWidth="1"/>
    <col min="10498" max="10498" width="3.109375" style="1" customWidth="1"/>
    <col min="10499" max="10499" width="3.88671875" style="1" customWidth="1"/>
    <col min="10500" max="10501" width="3.109375" style="1" customWidth="1"/>
    <col min="10502" max="10502" width="4.44140625" style="1" bestFit="1" customWidth="1"/>
    <col min="10503" max="10504" width="4.6640625" style="1" bestFit="1" customWidth="1"/>
    <col min="10505" max="10505" width="3.88671875" style="1" customWidth="1"/>
    <col min="10506" max="10509" width="3" style="1" customWidth="1"/>
    <col min="10510" max="10514" width="3.109375" style="1" customWidth="1"/>
    <col min="10515" max="10515" width="4.33203125" style="1" customWidth="1"/>
    <col min="10516" max="10516" width="3.88671875" style="1" customWidth="1"/>
    <col min="10517" max="10517" width="3.77734375" style="1" customWidth="1"/>
    <col min="10518" max="10518" width="3.109375" style="1" customWidth="1"/>
    <col min="10519" max="10741" width="8.88671875" style="1"/>
    <col min="10742" max="10742" width="3.21875" style="1" customWidth="1"/>
    <col min="10743" max="10743" width="9.6640625" style="1" customWidth="1"/>
    <col min="10744" max="10744" width="5.5546875" style="1" bestFit="1" customWidth="1"/>
    <col min="10745" max="10745" width="4.88671875" style="1" customWidth="1"/>
    <col min="10746" max="10752" width="3.109375" style="1" customWidth="1"/>
    <col min="10753" max="10753" width="4.109375" style="1" customWidth="1"/>
    <col min="10754" max="10754" width="3.109375" style="1" customWidth="1"/>
    <col min="10755" max="10755" width="3.88671875" style="1" customWidth="1"/>
    <col min="10756" max="10757" width="3.109375" style="1" customWidth="1"/>
    <col min="10758" max="10758" width="4.44140625" style="1" bestFit="1" customWidth="1"/>
    <col min="10759" max="10760" width="4.6640625" style="1" bestFit="1" customWidth="1"/>
    <col min="10761" max="10761" width="3.88671875" style="1" customWidth="1"/>
    <col min="10762" max="10765" width="3" style="1" customWidth="1"/>
    <col min="10766" max="10770" width="3.109375" style="1" customWidth="1"/>
    <col min="10771" max="10771" width="4.33203125" style="1" customWidth="1"/>
    <col min="10772" max="10772" width="3.88671875" style="1" customWidth="1"/>
    <col min="10773" max="10773" width="3.77734375" style="1" customWidth="1"/>
    <col min="10774" max="10774" width="3.109375" style="1" customWidth="1"/>
    <col min="10775" max="10997" width="8.88671875" style="1"/>
    <col min="10998" max="10998" width="3.21875" style="1" customWidth="1"/>
    <col min="10999" max="10999" width="9.6640625" style="1" customWidth="1"/>
    <col min="11000" max="11000" width="5.5546875" style="1" bestFit="1" customWidth="1"/>
    <col min="11001" max="11001" width="4.88671875" style="1" customWidth="1"/>
    <col min="11002" max="11008" width="3.109375" style="1" customWidth="1"/>
    <col min="11009" max="11009" width="4.109375" style="1" customWidth="1"/>
    <col min="11010" max="11010" width="3.109375" style="1" customWidth="1"/>
    <col min="11011" max="11011" width="3.88671875" style="1" customWidth="1"/>
    <col min="11012" max="11013" width="3.109375" style="1" customWidth="1"/>
    <col min="11014" max="11014" width="4.44140625" style="1" bestFit="1" customWidth="1"/>
    <col min="11015" max="11016" width="4.6640625" style="1" bestFit="1" customWidth="1"/>
    <col min="11017" max="11017" width="3.88671875" style="1" customWidth="1"/>
    <col min="11018" max="11021" width="3" style="1" customWidth="1"/>
    <col min="11022" max="11026" width="3.109375" style="1" customWidth="1"/>
    <col min="11027" max="11027" width="4.33203125" style="1" customWidth="1"/>
    <col min="11028" max="11028" width="3.88671875" style="1" customWidth="1"/>
    <col min="11029" max="11029" width="3.77734375" style="1" customWidth="1"/>
    <col min="11030" max="11030" width="3.109375" style="1" customWidth="1"/>
    <col min="11031" max="11253" width="8.88671875" style="1"/>
    <col min="11254" max="11254" width="3.21875" style="1" customWidth="1"/>
    <col min="11255" max="11255" width="9.6640625" style="1" customWidth="1"/>
    <col min="11256" max="11256" width="5.5546875" style="1" bestFit="1" customWidth="1"/>
    <col min="11257" max="11257" width="4.88671875" style="1" customWidth="1"/>
    <col min="11258" max="11264" width="3.109375" style="1" customWidth="1"/>
    <col min="11265" max="11265" width="4.109375" style="1" customWidth="1"/>
    <col min="11266" max="11266" width="3.109375" style="1" customWidth="1"/>
    <col min="11267" max="11267" width="3.88671875" style="1" customWidth="1"/>
    <col min="11268" max="11269" width="3.109375" style="1" customWidth="1"/>
    <col min="11270" max="11270" width="4.44140625" style="1" bestFit="1" customWidth="1"/>
    <col min="11271" max="11272" width="4.6640625" style="1" bestFit="1" customWidth="1"/>
    <col min="11273" max="11273" width="3.88671875" style="1" customWidth="1"/>
    <col min="11274" max="11277" width="3" style="1" customWidth="1"/>
    <col min="11278" max="11282" width="3.109375" style="1" customWidth="1"/>
    <col min="11283" max="11283" width="4.33203125" style="1" customWidth="1"/>
    <col min="11284" max="11284" width="3.88671875" style="1" customWidth="1"/>
    <col min="11285" max="11285" width="3.77734375" style="1" customWidth="1"/>
    <col min="11286" max="11286" width="3.109375" style="1" customWidth="1"/>
    <col min="11287" max="11509" width="8.88671875" style="1"/>
    <col min="11510" max="11510" width="3.21875" style="1" customWidth="1"/>
    <col min="11511" max="11511" width="9.6640625" style="1" customWidth="1"/>
    <col min="11512" max="11512" width="5.5546875" style="1" bestFit="1" customWidth="1"/>
    <col min="11513" max="11513" width="4.88671875" style="1" customWidth="1"/>
    <col min="11514" max="11520" width="3.109375" style="1" customWidth="1"/>
    <col min="11521" max="11521" width="4.109375" style="1" customWidth="1"/>
    <col min="11522" max="11522" width="3.109375" style="1" customWidth="1"/>
    <col min="11523" max="11523" width="3.88671875" style="1" customWidth="1"/>
    <col min="11524" max="11525" width="3.109375" style="1" customWidth="1"/>
    <col min="11526" max="11526" width="4.44140625" style="1" bestFit="1" customWidth="1"/>
    <col min="11527" max="11528" width="4.6640625" style="1" bestFit="1" customWidth="1"/>
    <col min="11529" max="11529" width="3.88671875" style="1" customWidth="1"/>
    <col min="11530" max="11533" width="3" style="1" customWidth="1"/>
    <col min="11534" max="11538" width="3.109375" style="1" customWidth="1"/>
    <col min="11539" max="11539" width="4.33203125" style="1" customWidth="1"/>
    <col min="11540" max="11540" width="3.88671875" style="1" customWidth="1"/>
    <col min="11541" max="11541" width="3.77734375" style="1" customWidth="1"/>
    <col min="11542" max="11542" width="3.109375" style="1" customWidth="1"/>
    <col min="11543" max="11765" width="8.88671875" style="1"/>
    <col min="11766" max="11766" width="3.21875" style="1" customWidth="1"/>
    <col min="11767" max="11767" width="9.6640625" style="1" customWidth="1"/>
    <col min="11768" max="11768" width="5.5546875" style="1" bestFit="1" customWidth="1"/>
    <col min="11769" max="11769" width="4.88671875" style="1" customWidth="1"/>
    <col min="11770" max="11776" width="3.109375" style="1" customWidth="1"/>
    <col min="11777" max="11777" width="4.109375" style="1" customWidth="1"/>
    <col min="11778" max="11778" width="3.109375" style="1" customWidth="1"/>
    <col min="11779" max="11779" width="3.88671875" style="1" customWidth="1"/>
    <col min="11780" max="11781" width="3.109375" style="1" customWidth="1"/>
    <col min="11782" max="11782" width="4.44140625" style="1" bestFit="1" customWidth="1"/>
    <col min="11783" max="11784" width="4.6640625" style="1" bestFit="1" customWidth="1"/>
    <col min="11785" max="11785" width="3.88671875" style="1" customWidth="1"/>
    <col min="11786" max="11789" width="3" style="1" customWidth="1"/>
    <col min="11790" max="11794" width="3.109375" style="1" customWidth="1"/>
    <col min="11795" max="11795" width="4.33203125" style="1" customWidth="1"/>
    <col min="11796" max="11796" width="3.88671875" style="1" customWidth="1"/>
    <col min="11797" max="11797" width="3.77734375" style="1" customWidth="1"/>
    <col min="11798" max="11798" width="3.109375" style="1" customWidth="1"/>
    <col min="11799" max="12021" width="8.88671875" style="1"/>
    <col min="12022" max="12022" width="3.21875" style="1" customWidth="1"/>
    <col min="12023" max="12023" width="9.6640625" style="1" customWidth="1"/>
    <col min="12024" max="12024" width="5.5546875" style="1" bestFit="1" customWidth="1"/>
    <col min="12025" max="12025" width="4.88671875" style="1" customWidth="1"/>
    <col min="12026" max="12032" width="3.109375" style="1" customWidth="1"/>
    <col min="12033" max="12033" width="4.109375" style="1" customWidth="1"/>
    <col min="12034" max="12034" width="3.109375" style="1" customWidth="1"/>
    <col min="12035" max="12035" width="3.88671875" style="1" customWidth="1"/>
    <col min="12036" max="12037" width="3.109375" style="1" customWidth="1"/>
    <col min="12038" max="12038" width="4.44140625" style="1" bestFit="1" customWidth="1"/>
    <col min="12039" max="12040" width="4.6640625" style="1" bestFit="1" customWidth="1"/>
    <col min="12041" max="12041" width="3.88671875" style="1" customWidth="1"/>
    <col min="12042" max="12045" width="3" style="1" customWidth="1"/>
    <col min="12046" max="12050" width="3.109375" style="1" customWidth="1"/>
    <col min="12051" max="12051" width="4.33203125" style="1" customWidth="1"/>
    <col min="12052" max="12052" width="3.88671875" style="1" customWidth="1"/>
    <col min="12053" max="12053" width="3.77734375" style="1" customWidth="1"/>
    <col min="12054" max="12054" width="3.109375" style="1" customWidth="1"/>
    <col min="12055" max="12277" width="8.88671875" style="1"/>
    <col min="12278" max="12278" width="3.21875" style="1" customWidth="1"/>
    <col min="12279" max="12279" width="9.6640625" style="1" customWidth="1"/>
    <col min="12280" max="12280" width="5.5546875" style="1" bestFit="1" customWidth="1"/>
    <col min="12281" max="12281" width="4.88671875" style="1" customWidth="1"/>
    <col min="12282" max="12288" width="3.109375" style="1" customWidth="1"/>
    <col min="12289" max="12289" width="4.109375" style="1" customWidth="1"/>
    <col min="12290" max="12290" width="3.109375" style="1" customWidth="1"/>
    <col min="12291" max="12291" width="3.88671875" style="1" customWidth="1"/>
    <col min="12292" max="12293" width="3.109375" style="1" customWidth="1"/>
    <col min="12294" max="12294" width="4.44140625" style="1" bestFit="1" customWidth="1"/>
    <col min="12295" max="12296" width="4.6640625" style="1" bestFit="1" customWidth="1"/>
    <col min="12297" max="12297" width="3.88671875" style="1" customWidth="1"/>
    <col min="12298" max="12301" width="3" style="1" customWidth="1"/>
    <col min="12302" max="12306" width="3.109375" style="1" customWidth="1"/>
    <col min="12307" max="12307" width="4.33203125" style="1" customWidth="1"/>
    <col min="12308" max="12308" width="3.88671875" style="1" customWidth="1"/>
    <col min="12309" max="12309" width="3.77734375" style="1" customWidth="1"/>
    <col min="12310" max="12310" width="3.109375" style="1" customWidth="1"/>
    <col min="12311" max="12533" width="8.88671875" style="1"/>
    <col min="12534" max="12534" width="3.21875" style="1" customWidth="1"/>
    <col min="12535" max="12535" width="9.6640625" style="1" customWidth="1"/>
    <col min="12536" max="12536" width="5.5546875" style="1" bestFit="1" customWidth="1"/>
    <col min="12537" max="12537" width="4.88671875" style="1" customWidth="1"/>
    <col min="12538" max="12544" width="3.109375" style="1" customWidth="1"/>
    <col min="12545" max="12545" width="4.109375" style="1" customWidth="1"/>
    <col min="12546" max="12546" width="3.109375" style="1" customWidth="1"/>
    <col min="12547" max="12547" width="3.88671875" style="1" customWidth="1"/>
    <col min="12548" max="12549" width="3.109375" style="1" customWidth="1"/>
    <col min="12550" max="12550" width="4.44140625" style="1" bestFit="1" customWidth="1"/>
    <col min="12551" max="12552" width="4.6640625" style="1" bestFit="1" customWidth="1"/>
    <col min="12553" max="12553" width="3.88671875" style="1" customWidth="1"/>
    <col min="12554" max="12557" width="3" style="1" customWidth="1"/>
    <col min="12558" max="12562" width="3.109375" style="1" customWidth="1"/>
    <col min="12563" max="12563" width="4.33203125" style="1" customWidth="1"/>
    <col min="12564" max="12564" width="3.88671875" style="1" customWidth="1"/>
    <col min="12565" max="12565" width="3.77734375" style="1" customWidth="1"/>
    <col min="12566" max="12566" width="3.109375" style="1" customWidth="1"/>
    <col min="12567" max="12789" width="8.88671875" style="1"/>
    <col min="12790" max="12790" width="3.21875" style="1" customWidth="1"/>
    <col min="12791" max="12791" width="9.6640625" style="1" customWidth="1"/>
    <col min="12792" max="12792" width="5.5546875" style="1" bestFit="1" customWidth="1"/>
    <col min="12793" max="12793" width="4.88671875" style="1" customWidth="1"/>
    <col min="12794" max="12800" width="3.109375" style="1" customWidth="1"/>
    <col min="12801" max="12801" width="4.109375" style="1" customWidth="1"/>
    <col min="12802" max="12802" width="3.109375" style="1" customWidth="1"/>
    <col min="12803" max="12803" width="3.88671875" style="1" customWidth="1"/>
    <col min="12804" max="12805" width="3.109375" style="1" customWidth="1"/>
    <col min="12806" max="12806" width="4.44140625" style="1" bestFit="1" customWidth="1"/>
    <col min="12807" max="12808" width="4.6640625" style="1" bestFit="1" customWidth="1"/>
    <col min="12809" max="12809" width="3.88671875" style="1" customWidth="1"/>
    <col min="12810" max="12813" width="3" style="1" customWidth="1"/>
    <col min="12814" max="12818" width="3.109375" style="1" customWidth="1"/>
    <col min="12819" max="12819" width="4.33203125" style="1" customWidth="1"/>
    <col min="12820" max="12820" width="3.88671875" style="1" customWidth="1"/>
    <col min="12821" max="12821" width="3.77734375" style="1" customWidth="1"/>
    <col min="12822" max="12822" width="3.109375" style="1" customWidth="1"/>
    <col min="12823" max="13045" width="8.88671875" style="1"/>
    <col min="13046" max="13046" width="3.21875" style="1" customWidth="1"/>
    <col min="13047" max="13047" width="9.6640625" style="1" customWidth="1"/>
    <col min="13048" max="13048" width="5.5546875" style="1" bestFit="1" customWidth="1"/>
    <col min="13049" max="13049" width="4.88671875" style="1" customWidth="1"/>
    <col min="13050" max="13056" width="3.109375" style="1" customWidth="1"/>
    <col min="13057" max="13057" width="4.109375" style="1" customWidth="1"/>
    <col min="13058" max="13058" width="3.109375" style="1" customWidth="1"/>
    <col min="13059" max="13059" width="3.88671875" style="1" customWidth="1"/>
    <col min="13060" max="13061" width="3.109375" style="1" customWidth="1"/>
    <col min="13062" max="13062" width="4.44140625" style="1" bestFit="1" customWidth="1"/>
    <col min="13063" max="13064" width="4.6640625" style="1" bestFit="1" customWidth="1"/>
    <col min="13065" max="13065" width="3.88671875" style="1" customWidth="1"/>
    <col min="13066" max="13069" width="3" style="1" customWidth="1"/>
    <col min="13070" max="13074" width="3.109375" style="1" customWidth="1"/>
    <col min="13075" max="13075" width="4.33203125" style="1" customWidth="1"/>
    <col min="13076" max="13076" width="3.88671875" style="1" customWidth="1"/>
    <col min="13077" max="13077" width="3.77734375" style="1" customWidth="1"/>
    <col min="13078" max="13078" width="3.109375" style="1" customWidth="1"/>
    <col min="13079" max="13301" width="8.88671875" style="1"/>
    <col min="13302" max="13302" width="3.21875" style="1" customWidth="1"/>
    <col min="13303" max="13303" width="9.6640625" style="1" customWidth="1"/>
    <col min="13304" max="13304" width="5.5546875" style="1" bestFit="1" customWidth="1"/>
    <col min="13305" max="13305" width="4.88671875" style="1" customWidth="1"/>
    <col min="13306" max="13312" width="3.109375" style="1" customWidth="1"/>
    <col min="13313" max="13313" width="4.109375" style="1" customWidth="1"/>
    <col min="13314" max="13314" width="3.109375" style="1" customWidth="1"/>
    <col min="13315" max="13315" width="3.88671875" style="1" customWidth="1"/>
    <col min="13316" max="13317" width="3.109375" style="1" customWidth="1"/>
    <col min="13318" max="13318" width="4.44140625" style="1" bestFit="1" customWidth="1"/>
    <col min="13319" max="13320" width="4.6640625" style="1" bestFit="1" customWidth="1"/>
    <col min="13321" max="13321" width="3.88671875" style="1" customWidth="1"/>
    <col min="13322" max="13325" width="3" style="1" customWidth="1"/>
    <col min="13326" max="13330" width="3.109375" style="1" customWidth="1"/>
    <col min="13331" max="13331" width="4.33203125" style="1" customWidth="1"/>
    <col min="13332" max="13332" width="3.88671875" style="1" customWidth="1"/>
    <col min="13333" max="13333" width="3.77734375" style="1" customWidth="1"/>
    <col min="13334" max="13334" width="3.109375" style="1" customWidth="1"/>
    <col min="13335" max="13557" width="8.88671875" style="1"/>
    <col min="13558" max="13558" width="3.21875" style="1" customWidth="1"/>
    <col min="13559" max="13559" width="9.6640625" style="1" customWidth="1"/>
    <col min="13560" max="13560" width="5.5546875" style="1" bestFit="1" customWidth="1"/>
    <col min="13561" max="13561" width="4.88671875" style="1" customWidth="1"/>
    <col min="13562" max="13568" width="3.109375" style="1" customWidth="1"/>
    <col min="13569" max="13569" width="4.109375" style="1" customWidth="1"/>
    <col min="13570" max="13570" width="3.109375" style="1" customWidth="1"/>
    <col min="13571" max="13571" width="3.88671875" style="1" customWidth="1"/>
    <col min="13572" max="13573" width="3.109375" style="1" customWidth="1"/>
    <col min="13574" max="13574" width="4.44140625" style="1" bestFit="1" customWidth="1"/>
    <col min="13575" max="13576" width="4.6640625" style="1" bestFit="1" customWidth="1"/>
    <col min="13577" max="13577" width="3.88671875" style="1" customWidth="1"/>
    <col min="13578" max="13581" width="3" style="1" customWidth="1"/>
    <col min="13582" max="13586" width="3.109375" style="1" customWidth="1"/>
    <col min="13587" max="13587" width="4.33203125" style="1" customWidth="1"/>
    <col min="13588" max="13588" width="3.88671875" style="1" customWidth="1"/>
    <col min="13589" max="13589" width="3.77734375" style="1" customWidth="1"/>
    <col min="13590" max="13590" width="3.109375" style="1" customWidth="1"/>
    <col min="13591" max="13813" width="8.88671875" style="1"/>
    <col min="13814" max="13814" width="3.21875" style="1" customWidth="1"/>
    <col min="13815" max="13815" width="9.6640625" style="1" customWidth="1"/>
    <col min="13816" max="13816" width="5.5546875" style="1" bestFit="1" customWidth="1"/>
    <col min="13817" max="13817" width="4.88671875" style="1" customWidth="1"/>
    <col min="13818" max="13824" width="3.109375" style="1" customWidth="1"/>
    <col min="13825" max="13825" width="4.109375" style="1" customWidth="1"/>
    <col min="13826" max="13826" width="3.109375" style="1" customWidth="1"/>
    <col min="13827" max="13827" width="3.88671875" style="1" customWidth="1"/>
    <col min="13828" max="13829" width="3.109375" style="1" customWidth="1"/>
    <col min="13830" max="13830" width="4.44140625" style="1" bestFit="1" customWidth="1"/>
    <col min="13831" max="13832" width="4.6640625" style="1" bestFit="1" customWidth="1"/>
    <col min="13833" max="13833" width="3.88671875" style="1" customWidth="1"/>
    <col min="13834" max="13837" width="3" style="1" customWidth="1"/>
    <col min="13838" max="13842" width="3.109375" style="1" customWidth="1"/>
    <col min="13843" max="13843" width="4.33203125" style="1" customWidth="1"/>
    <col min="13844" max="13844" width="3.88671875" style="1" customWidth="1"/>
    <col min="13845" max="13845" width="3.77734375" style="1" customWidth="1"/>
    <col min="13846" max="13846" width="3.109375" style="1" customWidth="1"/>
    <col min="13847" max="14069" width="8.88671875" style="1"/>
    <col min="14070" max="14070" width="3.21875" style="1" customWidth="1"/>
    <col min="14071" max="14071" width="9.6640625" style="1" customWidth="1"/>
    <col min="14072" max="14072" width="5.5546875" style="1" bestFit="1" customWidth="1"/>
    <col min="14073" max="14073" width="4.88671875" style="1" customWidth="1"/>
    <col min="14074" max="14080" width="3.109375" style="1" customWidth="1"/>
    <col min="14081" max="14081" width="4.109375" style="1" customWidth="1"/>
    <col min="14082" max="14082" width="3.109375" style="1" customWidth="1"/>
    <col min="14083" max="14083" width="3.88671875" style="1" customWidth="1"/>
    <col min="14084" max="14085" width="3.109375" style="1" customWidth="1"/>
    <col min="14086" max="14086" width="4.44140625" style="1" bestFit="1" customWidth="1"/>
    <col min="14087" max="14088" width="4.6640625" style="1" bestFit="1" customWidth="1"/>
    <col min="14089" max="14089" width="3.88671875" style="1" customWidth="1"/>
    <col min="14090" max="14093" width="3" style="1" customWidth="1"/>
    <col min="14094" max="14098" width="3.109375" style="1" customWidth="1"/>
    <col min="14099" max="14099" width="4.33203125" style="1" customWidth="1"/>
    <col min="14100" max="14100" width="3.88671875" style="1" customWidth="1"/>
    <col min="14101" max="14101" width="3.77734375" style="1" customWidth="1"/>
    <col min="14102" max="14102" width="3.109375" style="1" customWidth="1"/>
    <col min="14103" max="14325" width="8.88671875" style="1"/>
    <col min="14326" max="14326" width="3.21875" style="1" customWidth="1"/>
    <col min="14327" max="14327" width="9.6640625" style="1" customWidth="1"/>
    <col min="14328" max="14328" width="5.5546875" style="1" bestFit="1" customWidth="1"/>
    <col min="14329" max="14329" width="4.88671875" style="1" customWidth="1"/>
    <col min="14330" max="14336" width="3.109375" style="1" customWidth="1"/>
    <col min="14337" max="14337" width="4.109375" style="1" customWidth="1"/>
    <col min="14338" max="14338" width="3.109375" style="1" customWidth="1"/>
    <col min="14339" max="14339" width="3.88671875" style="1" customWidth="1"/>
    <col min="14340" max="14341" width="3.109375" style="1" customWidth="1"/>
    <col min="14342" max="14342" width="4.44140625" style="1" bestFit="1" customWidth="1"/>
    <col min="14343" max="14344" width="4.6640625" style="1" bestFit="1" customWidth="1"/>
    <col min="14345" max="14345" width="3.88671875" style="1" customWidth="1"/>
    <col min="14346" max="14349" width="3" style="1" customWidth="1"/>
    <col min="14350" max="14354" width="3.109375" style="1" customWidth="1"/>
    <col min="14355" max="14355" width="4.33203125" style="1" customWidth="1"/>
    <col min="14356" max="14356" width="3.88671875" style="1" customWidth="1"/>
    <col min="14357" max="14357" width="3.77734375" style="1" customWidth="1"/>
    <col min="14358" max="14358" width="3.109375" style="1" customWidth="1"/>
    <col min="14359" max="14581" width="8.88671875" style="1"/>
    <col min="14582" max="14582" width="3.21875" style="1" customWidth="1"/>
    <col min="14583" max="14583" width="9.6640625" style="1" customWidth="1"/>
    <col min="14584" max="14584" width="5.5546875" style="1" bestFit="1" customWidth="1"/>
    <col min="14585" max="14585" width="4.88671875" style="1" customWidth="1"/>
    <col min="14586" max="14592" width="3.109375" style="1" customWidth="1"/>
    <col min="14593" max="14593" width="4.109375" style="1" customWidth="1"/>
    <col min="14594" max="14594" width="3.109375" style="1" customWidth="1"/>
    <col min="14595" max="14595" width="3.88671875" style="1" customWidth="1"/>
    <col min="14596" max="14597" width="3.109375" style="1" customWidth="1"/>
    <col min="14598" max="14598" width="4.44140625" style="1" bestFit="1" customWidth="1"/>
    <col min="14599" max="14600" width="4.6640625" style="1" bestFit="1" customWidth="1"/>
    <col min="14601" max="14601" width="3.88671875" style="1" customWidth="1"/>
    <col min="14602" max="14605" width="3" style="1" customWidth="1"/>
    <col min="14606" max="14610" width="3.109375" style="1" customWidth="1"/>
    <col min="14611" max="14611" width="4.33203125" style="1" customWidth="1"/>
    <col min="14612" max="14612" width="3.88671875" style="1" customWidth="1"/>
    <col min="14613" max="14613" width="3.77734375" style="1" customWidth="1"/>
    <col min="14614" max="14614" width="3.109375" style="1" customWidth="1"/>
    <col min="14615" max="14837" width="8.88671875" style="1"/>
    <col min="14838" max="14838" width="3.21875" style="1" customWidth="1"/>
    <col min="14839" max="14839" width="9.6640625" style="1" customWidth="1"/>
    <col min="14840" max="14840" width="5.5546875" style="1" bestFit="1" customWidth="1"/>
    <col min="14841" max="14841" width="4.88671875" style="1" customWidth="1"/>
    <col min="14842" max="14848" width="3.109375" style="1" customWidth="1"/>
    <col min="14849" max="14849" width="4.109375" style="1" customWidth="1"/>
    <col min="14850" max="14850" width="3.109375" style="1" customWidth="1"/>
    <col min="14851" max="14851" width="3.88671875" style="1" customWidth="1"/>
    <col min="14852" max="14853" width="3.109375" style="1" customWidth="1"/>
    <col min="14854" max="14854" width="4.44140625" style="1" bestFit="1" customWidth="1"/>
    <col min="14855" max="14856" width="4.6640625" style="1" bestFit="1" customWidth="1"/>
    <col min="14857" max="14857" width="3.88671875" style="1" customWidth="1"/>
    <col min="14858" max="14861" width="3" style="1" customWidth="1"/>
    <col min="14862" max="14866" width="3.109375" style="1" customWidth="1"/>
    <col min="14867" max="14867" width="4.33203125" style="1" customWidth="1"/>
    <col min="14868" max="14868" width="3.88671875" style="1" customWidth="1"/>
    <col min="14869" max="14869" width="3.77734375" style="1" customWidth="1"/>
    <col min="14870" max="14870" width="3.109375" style="1" customWidth="1"/>
    <col min="14871" max="15093" width="8.88671875" style="1"/>
    <col min="15094" max="15094" width="3.21875" style="1" customWidth="1"/>
    <col min="15095" max="15095" width="9.6640625" style="1" customWidth="1"/>
    <col min="15096" max="15096" width="5.5546875" style="1" bestFit="1" customWidth="1"/>
    <col min="15097" max="15097" width="4.88671875" style="1" customWidth="1"/>
    <col min="15098" max="15104" width="3.109375" style="1" customWidth="1"/>
    <col min="15105" max="15105" width="4.109375" style="1" customWidth="1"/>
    <col min="15106" max="15106" width="3.109375" style="1" customWidth="1"/>
    <col min="15107" max="15107" width="3.88671875" style="1" customWidth="1"/>
    <col min="15108" max="15109" width="3.109375" style="1" customWidth="1"/>
    <col min="15110" max="15110" width="4.44140625" style="1" bestFit="1" customWidth="1"/>
    <col min="15111" max="15112" width="4.6640625" style="1" bestFit="1" customWidth="1"/>
    <col min="15113" max="15113" width="3.88671875" style="1" customWidth="1"/>
    <col min="15114" max="15117" width="3" style="1" customWidth="1"/>
    <col min="15118" max="15122" width="3.109375" style="1" customWidth="1"/>
    <col min="15123" max="15123" width="4.33203125" style="1" customWidth="1"/>
    <col min="15124" max="15124" width="3.88671875" style="1" customWidth="1"/>
    <col min="15125" max="15125" width="3.77734375" style="1" customWidth="1"/>
    <col min="15126" max="15126" width="3.109375" style="1" customWidth="1"/>
    <col min="15127" max="15349" width="8.88671875" style="1"/>
    <col min="15350" max="15350" width="3.21875" style="1" customWidth="1"/>
    <col min="15351" max="15351" width="9.6640625" style="1" customWidth="1"/>
    <col min="15352" max="15352" width="5.5546875" style="1" bestFit="1" customWidth="1"/>
    <col min="15353" max="15353" width="4.88671875" style="1" customWidth="1"/>
    <col min="15354" max="15360" width="3.109375" style="1" customWidth="1"/>
    <col min="15361" max="15361" width="4.109375" style="1" customWidth="1"/>
    <col min="15362" max="15362" width="3.109375" style="1" customWidth="1"/>
    <col min="15363" max="15363" width="3.88671875" style="1" customWidth="1"/>
    <col min="15364" max="15365" width="3.109375" style="1" customWidth="1"/>
    <col min="15366" max="15366" width="4.44140625" style="1" bestFit="1" customWidth="1"/>
    <col min="15367" max="15368" width="4.6640625" style="1" bestFit="1" customWidth="1"/>
    <col min="15369" max="15369" width="3.88671875" style="1" customWidth="1"/>
    <col min="15370" max="15373" width="3" style="1" customWidth="1"/>
    <col min="15374" max="15378" width="3.109375" style="1" customWidth="1"/>
    <col min="15379" max="15379" width="4.33203125" style="1" customWidth="1"/>
    <col min="15380" max="15380" width="3.88671875" style="1" customWidth="1"/>
    <col min="15381" max="15381" width="3.77734375" style="1" customWidth="1"/>
    <col min="15382" max="15382" width="3.109375" style="1" customWidth="1"/>
    <col min="15383" max="15605" width="8.88671875" style="1"/>
    <col min="15606" max="15606" width="3.21875" style="1" customWidth="1"/>
    <col min="15607" max="15607" width="9.6640625" style="1" customWidth="1"/>
    <col min="15608" max="15608" width="5.5546875" style="1" bestFit="1" customWidth="1"/>
    <col min="15609" max="15609" width="4.88671875" style="1" customWidth="1"/>
    <col min="15610" max="15616" width="3.109375" style="1" customWidth="1"/>
    <col min="15617" max="15617" width="4.109375" style="1" customWidth="1"/>
    <col min="15618" max="15618" width="3.109375" style="1" customWidth="1"/>
    <col min="15619" max="15619" width="3.88671875" style="1" customWidth="1"/>
    <col min="15620" max="15621" width="3.109375" style="1" customWidth="1"/>
    <col min="15622" max="15622" width="4.44140625" style="1" bestFit="1" customWidth="1"/>
    <col min="15623" max="15624" width="4.6640625" style="1" bestFit="1" customWidth="1"/>
    <col min="15625" max="15625" width="3.88671875" style="1" customWidth="1"/>
    <col min="15626" max="15629" width="3" style="1" customWidth="1"/>
    <col min="15630" max="15634" width="3.109375" style="1" customWidth="1"/>
    <col min="15635" max="15635" width="4.33203125" style="1" customWidth="1"/>
    <col min="15636" max="15636" width="3.88671875" style="1" customWidth="1"/>
    <col min="15637" max="15637" width="3.77734375" style="1" customWidth="1"/>
    <col min="15638" max="15638" width="3.109375" style="1" customWidth="1"/>
    <col min="15639" max="15861" width="8.88671875" style="1"/>
    <col min="15862" max="15862" width="3.21875" style="1" customWidth="1"/>
    <col min="15863" max="15863" width="9.6640625" style="1" customWidth="1"/>
    <col min="15864" max="15864" width="5.5546875" style="1" bestFit="1" customWidth="1"/>
    <col min="15865" max="15865" width="4.88671875" style="1" customWidth="1"/>
    <col min="15866" max="15872" width="3.109375" style="1" customWidth="1"/>
    <col min="15873" max="15873" width="4.109375" style="1" customWidth="1"/>
    <col min="15874" max="15874" width="3.109375" style="1" customWidth="1"/>
    <col min="15875" max="15875" width="3.88671875" style="1" customWidth="1"/>
    <col min="15876" max="15877" width="3.109375" style="1" customWidth="1"/>
    <col min="15878" max="15878" width="4.44140625" style="1" bestFit="1" customWidth="1"/>
    <col min="15879" max="15880" width="4.6640625" style="1" bestFit="1" customWidth="1"/>
    <col min="15881" max="15881" width="3.88671875" style="1" customWidth="1"/>
    <col min="15882" max="15885" width="3" style="1" customWidth="1"/>
    <col min="15886" max="15890" width="3.109375" style="1" customWidth="1"/>
    <col min="15891" max="15891" width="4.33203125" style="1" customWidth="1"/>
    <col min="15892" max="15892" width="3.88671875" style="1" customWidth="1"/>
    <col min="15893" max="15893" width="3.77734375" style="1" customWidth="1"/>
    <col min="15894" max="15894" width="3.109375" style="1" customWidth="1"/>
    <col min="15895" max="16117" width="8.88671875" style="1"/>
    <col min="16118" max="16118" width="3.21875" style="1" customWidth="1"/>
    <col min="16119" max="16119" width="9.6640625" style="1" customWidth="1"/>
    <col min="16120" max="16120" width="5.5546875" style="1" bestFit="1" customWidth="1"/>
    <col min="16121" max="16121" width="4.88671875" style="1" customWidth="1"/>
    <col min="16122" max="16128" width="3.109375" style="1" customWidth="1"/>
    <col min="16129" max="16129" width="4.109375" style="1" customWidth="1"/>
    <col min="16130" max="16130" width="3.109375" style="1" customWidth="1"/>
    <col min="16131" max="16131" width="3.88671875" style="1" customWidth="1"/>
    <col min="16132" max="16133" width="3.109375" style="1" customWidth="1"/>
    <col min="16134" max="16134" width="4.44140625" style="1" bestFit="1" customWidth="1"/>
    <col min="16135" max="16136" width="4.6640625" style="1" bestFit="1" customWidth="1"/>
    <col min="16137" max="16137" width="3.88671875" style="1" customWidth="1"/>
    <col min="16138" max="16141" width="3" style="1" customWidth="1"/>
    <col min="16142" max="16146" width="3.109375" style="1" customWidth="1"/>
    <col min="16147" max="16147" width="4.33203125" style="1" customWidth="1"/>
    <col min="16148" max="16148" width="3.88671875" style="1" customWidth="1"/>
    <col min="16149" max="16149" width="3.77734375" style="1" customWidth="1"/>
    <col min="16150" max="16150" width="3.109375" style="1" customWidth="1"/>
    <col min="16151" max="16384" width="8.88671875" style="1"/>
  </cols>
  <sheetData>
    <row r="1" spans="1:35" ht="12" x14ac:dyDescent="0.15">
      <c r="A1" s="71" t="s">
        <v>55</v>
      </c>
      <c r="B1" s="12"/>
      <c r="C1" s="12"/>
      <c r="D1" s="12"/>
      <c r="E1" s="12"/>
      <c r="F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spans="1:35" ht="26.25" customHeight="1" x14ac:dyDescent="0.3">
      <c r="A2" s="97" t="s">
        <v>4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</row>
    <row r="3" spans="1:35" ht="6.75" customHeight="1" x14ac:dyDescent="0.3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12"/>
      <c r="AG3" s="12"/>
      <c r="AH3" s="12"/>
    </row>
    <row r="4" spans="1:35" ht="16.5" customHeight="1" x14ac:dyDescent="0.15">
      <c r="A4" s="72" t="s">
        <v>65</v>
      </c>
      <c r="B4" s="59"/>
      <c r="C4" s="59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73"/>
      <c r="AG4" s="73"/>
      <c r="AH4" s="12"/>
    </row>
    <row r="5" spans="1:35" s="2" customFormat="1" ht="23.25" customHeight="1" x14ac:dyDescent="0.15">
      <c r="A5" s="105" t="s">
        <v>9</v>
      </c>
      <c r="B5" s="106"/>
      <c r="C5" s="111" t="s">
        <v>0</v>
      </c>
      <c r="D5" s="121" t="s">
        <v>33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8" t="s">
        <v>28</v>
      </c>
      <c r="AG5" s="99"/>
      <c r="AH5" s="100"/>
    </row>
    <row r="6" spans="1:35" s="2" customFormat="1" ht="24" customHeight="1" x14ac:dyDescent="0.15">
      <c r="A6" s="107"/>
      <c r="B6" s="108"/>
      <c r="C6" s="112"/>
      <c r="D6" s="114" t="s">
        <v>1</v>
      </c>
      <c r="E6" s="116" t="s">
        <v>2</v>
      </c>
      <c r="F6" s="60" t="s">
        <v>10</v>
      </c>
      <c r="G6" s="94" t="s">
        <v>11</v>
      </c>
      <c r="H6" s="26" t="s">
        <v>12</v>
      </c>
      <c r="I6" s="103" t="s">
        <v>13</v>
      </c>
      <c r="J6" s="118"/>
      <c r="K6" s="96"/>
      <c r="L6" s="103" t="s">
        <v>14</v>
      </c>
      <c r="M6" s="119"/>
      <c r="N6" s="119"/>
      <c r="O6" s="119"/>
      <c r="P6" s="119"/>
      <c r="Q6" s="120"/>
      <c r="R6" s="103" t="s">
        <v>15</v>
      </c>
      <c r="S6" s="119"/>
      <c r="T6" s="120"/>
      <c r="U6" s="103" t="s">
        <v>16</v>
      </c>
      <c r="V6" s="119"/>
      <c r="W6" s="119"/>
      <c r="X6" s="119"/>
      <c r="Y6" s="120"/>
      <c r="Z6" s="122" t="s">
        <v>17</v>
      </c>
      <c r="AA6" s="103" t="s">
        <v>18</v>
      </c>
      <c r="AB6" s="119"/>
      <c r="AC6" s="119"/>
      <c r="AD6" s="119"/>
      <c r="AE6" s="119"/>
      <c r="AF6" s="101" t="s">
        <v>29</v>
      </c>
      <c r="AG6" s="103" t="s">
        <v>30</v>
      </c>
      <c r="AH6" s="104"/>
    </row>
    <row r="7" spans="1:35" s="2" customFormat="1" ht="153" customHeight="1" x14ac:dyDescent="0.15">
      <c r="A7" s="109"/>
      <c r="B7" s="110"/>
      <c r="C7" s="113"/>
      <c r="D7" s="115"/>
      <c r="E7" s="117"/>
      <c r="F7" s="61" t="s">
        <v>58</v>
      </c>
      <c r="G7" s="62" t="s">
        <v>59</v>
      </c>
      <c r="H7" s="14" t="s">
        <v>57</v>
      </c>
      <c r="I7" s="63" t="s">
        <v>47</v>
      </c>
      <c r="J7" s="64" t="s">
        <v>20</v>
      </c>
      <c r="K7" s="65" t="s">
        <v>64</v>
      </c>
      <c r="L7" s="63" t="s">
        <v>21</v>
      </c>
      <c r="M7" s="64" t="s">
        <v>56</v>
      </c>
      <c r="N7" s="64" t="s">
        <v>48</v>
      </c>
      <c r="O7" s="65" t="s">
        <v>63</v>
      </c>
      <c r="P7" s="63" t="s">
        <v>50</v>
      </c>
      <c r="Q7" s="65" t="s">
        <v>51</v>
      </c>
      <c r="R7" s="63" t="s">
        <v>22</v>
      </c>
      <c r="S7" s="65" t="s">
        <v>23</v>
      </c>
      <c r="T7" s="65" t="s">
        <v>39</v>
      </c>
      <c r="U7" s="63" t="s">
        <v>24</v>
      </c>
      <c r="V7" s="65" t="s">
        <v>62</v>
      </c>
      <c r="W7" s="65" t="s">
        <v>26</v>
      </c>
      <c r="X7" s="65" t="s">
        <v>31</v>
      </c>
      <c r="Y7" s="65" t="s">
        <v>27</v>
      </c>
      <c r="Z7" s="123"/>
      <c r="AA7" s="66" t="s">
        <v>25</v>
      </c>
      <c r="AB7" s="66" t="s">
        <v>7</v>
      </c>
      <c r="AC7" s="66" t="s">
        <v>8</v>
      </c>
      <c r="AD7" s="67" t="s">
        <v>5</v>
      </c>
      <c r="AE7" s="68" t="s">
        <v>6</v>
      </c>
      <c r="AF7" s="102"/>
      <c r="AG7" s="63" t="s">
        <v>24</v>
      </c>
      <c r="AH7" s="74" t="s">
        <v>32</v>
      </c>
    </row>
    <row r="8" spans="1:35" s="3" customFormat="1" hidden="1" x14ac:dyDescent="0.15">
      <c r="A8" s="124" t="s">
        <v>3</v>
      </c>
      <c r="B8" s="125"/>
      <c r="C8" s="7">
        <f>D8+Z8</f>
        <v>94</v>
      </c>
      <c r="D8" s="8">
        <f>SUM(E8:Y8)</f>
        <v>73</v>
      </c>
      <c r="E8" s="7">
        <v>1</v>
      </c>
      <c r="F8" s="7">
        <v>1</v>
      </c>
      <c r="G8" s="7">
        <v>0</v>
      </c>
      <c r="H8" s="7">
        <v>0</v>
      </c>
      <c r="I8" s="7">
        <v>9</v>
      </c>
      <c r="J8" s="7">
        <v>0</v>
      </c>
      <c r="K8" s="7"/>
      <c r="L8" s="7">
        <v>0</v>
      </c>
      <c r="M8" s="7">
        <v>1</v>
      </c>
      <c r="N8" s="7">
        <v>4</v>
      </c>
      <c r="O8" s="7"/>
      <c r="P8" s="7"/>
      <c r="Q8" s="7">
        <v>4</v>
      </c>
      <c r="R8" s="7">
        <v>10</v>
      </c>
      <c r="S8" s="7">
        <v>1</v>
      </c>
      <c r="T8" s="7"/>
      <c r="U8" s="7">
        <v>26</v>
      </c>
      <c r="V8" s="7"/>
      <c r="W8" s="7"/>
      <c r="X8" s="7">
        <v>8</v>
      </c>
      <c r="Y8" s="7">
        <v>8</v>
      </c>
      <c r="Z8" s="8">
        <f>SUM(AA8:AE8)</f>
        <v>21</v>
      </c>
      <c r="AA8" s="7">
        <v>3</v>
      </c>
      <c r="AB8" s="7">
        <v>3</v>
      </c>
      <c r="AC8" s="8">
        <v>4</v>
      </c>
      <c r="AD8" s="7">
        <v>8</v>
      </c>
      <c r="AE8" s="10">
        <v>3</v>
      </c>
      <c r="AF8" s="75"/>
      <c r="AG8" s="76"/>
      <c r="AH8" s="77"/>
    </row>
    <row r="9" spans="1:35" s="2" customFormat="1" ht="23.25" hidden="1" customHeight="1" x14ac:dyDescent="0.15">
      <c r="A9" s="92"/>
      <c r="B9" s="93"/>
      <c r="C9" s="9">
        <f>C10-C8</f>
        <v>108</v>
      </c>
      <c r="D9" s="9">
        <f t="shared" ref="D9:AE9" si="0">D10-D8</f>
        <v>129</v>
      </c>
      <c r="E9" s="9">
        <f t="shared" si="0"/>
        <v>0</v>
      </c>
      <c r="F9" s="9">
        <f t="shared" si="0"/>
        <v>0</v>
      </c>
      <c r="G9" s="9">
        <f t="shared" si="0"/>
        <v>1</v>
      </c>
      <c r="H9" s="9">
        <f t="shared" si="0"/>
        <v>8</v>
      </c>
      <c r="I9" s="9">
        <f t="shared" si="0"/>
        <v>27</v>
      </c>
      <c r="J9" s="9">
        <f t="shared" si="0"/>
        <v>2</v>
      </c>
      <c r="K9" s="9"/>
      <c r="L9" s="9">
        <f t="shared" ref="L9" si="1">L10-L8</f>
        <v>26</v>
      </c>
      <c r="M9" s="9">
        <f t="shared" si="0"/>
        <v>0</v>
      </c>
      <c r="N9" s="9">
        <f t="shared" ref="N9" si="2">N10-N8</f>
        <v>0</v>
      </c>
      <c r="O9" s="9"/>
      <c r="P9" s="9"/>
      <c r="Q9" s="9">
        <f t="shared" si="0"/>
        <v>-3</v>
      </c>
      <c r="R9" s="9">
        <f t="shared" si="0"/>
        <v>36</v>
      </c>
      <c r="S9" s="9">
        <f t="shared" si="0"/>
        <v>3</v>
      </c>
      <c r="T9" s="9"/>
      <c r="U9" s="9">
        <f t="shared" ref="U9" si="3">U10-U8</f>
        <v>7</v>
      </c>
      <c r="V9" s="9"/>
      <c r="W9" s="9"/>
      <c r="X9" s="9">
        <f t="shared" ref="X9" si="4">X10-X8</f>
        <v>-3</v>
      </c>
      <c r="Y9" s="9">
        <f t="shared" si="0"/>
        <v>-8</v>
      </c>
      <c r="Z9" s="9">
        <f t="shared" si="0"/>
        <v>-17</v>
      </c>
      <c r="AA9" s="9">
        <f t="shared" si="0"/>
        <v>-3</v>
      </c>
      <c r="AB9" s="9">
        <f t="shared" si="0"/>
        <v>-3</v>
      </c>
      <c r="AC9" s="9">
        <f t="shared" si="0"/>
        <v>-4</v>
      </c>
      <c r="AD9" s="9">
        <f t="shared" si="0"/>
        <v>-6</v>
      </c>
      <c r="AE9" s="11">
        <f t="shared" si="0"/>
        <v>-1</v>
      </c>
      <c r="AF9" s="78"/>
      <c r="AG9" s="79"/>
      <c r="AH9" s="80"/>
    </row>
    <row r="10" spans="1:35" s="4" customFormat="1" ht="23.25" customHeight="1" x14ac:dyDescent="0.15">
      <c r="A10" s="124" t="s">
        <v>40</v>
      </c>
      <c r="B10" s="125"/>
      <c r="C10" s="7">
        <f t="shared" ref="C10:AH10" si="5">C11+C15</f>
        <v>202</v>
      </c>
      <c r="D10" s="8">
        <f t="shared" si="5"/>
        <v>202</v>
      </c>
      <c r="E10" s="7">
        <f t="shared" si="5"/>
        <v>1</v>
      </c>
      <c r="F10" s="7">
        <f t="shared" si="5"/>
        <v>1</v>
      </c>
      <c r="G10" s="7">
        <f t="shared" si="5"/>
        <v>1</v>
      </c>
      <c r="H10" s="7">
        <f t="shared" si="5"/>
        <v>8</v>
      </c>
      <c r="I10" s="7">
        <f t="shared" si="5"/>
        <v>36</v>
      </c>
      <c r="J10" s="7">
        <f t="shared" si="5"/>
        <v>2</v>
      </c>
      <c r="K10" s="7">
        <f t="shared" ref="K10" si="6">K11+K15</f>
        <v>8</v>
      </c>
      <c r="L10" s="7">
        <f t="shared" ref="L10" si="7">L11+L15</f>
        <v>26</v>
      </c>
      <c r="M10" s="7">
        <f t="shared" si="5"/>
        <v>1</v>
      </c>
      <c r="N10" s="7">
        <f t="shared" ref="N10:P10" si="8">N11+N15</f>
        <v>4</v>
      </c>
      <c r="O10" s="7"/>
      <c r="P10" s="7">
        <f t="shared" si="8"/>
        <v>1</v>
      </c>
      <c r="Q10" s="7">
        <f t="shared" ref="Q10" si="9">Q11+Q15</f>
        <v>1</v>
      </c>
      <c r="R10" s="7">
        <f t="shared" si="5"/>
        <v>46</v>
      </c>
      <c r="S10" s="7">
        <f t="shared" si="5"/>
        <v>4</v>
      </c>
      <c r="T10" s="7">
        <f t="shared" si="5"/>
        <v>3</v>
      </c>
      <c r="U10" s="7">
        <f t="shared" si="5"/>
        <v>33</v>
      </c>
      <c r="V10" s="7"/>
      <c r="W10" s="7">
        <f t="shared" si="5"/>
        <v>1</v>
      </c>
      <c r="X10" s="7">
        <f t="shared" si="5"/>
        <v>5</v>
      </c>
      <c r="Y10" s="7">
        <f t="shared" si="5"/>
        <v>0</v>
      </c>
      <c r="Z10" s="7">
        <f t="shared" si="5"/>
        <v>4</v>
      </c>
      <c r="AA10" s="7">
        <f t="shared" si="5"/>
        <v>0</v>
      </c>
      <c r="AB10" s="7">
        <f t="shared" si="5"/>
        <v>0</v>
      </c>
      <c r="AC10" s="7">
        <f t="shared" si="5"/>
        <v>0</v>
      </c>
      <c r="AD10" s="7">
        <f t="shared" si="5"/>
        <v>2</v>
      </c>
      <c r="AE10" s="10">
        <f t="shared" si="5"/>
        <v>2</v>
      </c>
      <c r="AF10" s="81">
        <f t="shared" si="5"/>
        <v>0</v>
      </c>
      <c r="AG10" s="82">
        <f t="shared" si="5"/>
        <v>0</v>
      </c>
      <c r="AH10" s="83">
        <f t="shared" si="5"/>
        <v>0</v>
      </c>
    </row>
    <row r="11" spans="1:35" s="6" customFormat="1" ht="23.25" customHeight="1" x14ac:dyDescent="0.15">
      <c r="A11" s="126" t="s">
        <v>38</v>
      </c>
      <c r="B11" s="15" t="s">
        <v>34</v>
      </c>
      <c r="C11" s="33">
        <f>SUM(C12:C14)</f>
        <v>48</v>
      </c>
      <c r="D11" s="33">
        <f>SUM(D12:D14)</f>
        <v>48</v>
      </c>
      <c r="E11" s="33">
        <f>SUM(E12:E14)</f>
        <v>1</v>
      </c>
      <c r="F11" s="33">
        <f t="shared" ref="F11:Y11" si="10">SUM(F12:F14)</f>
        <v>0</v>
      </c>
      <c r="G11" s="33">
        <f t="shared" si="10"/>
        <v>1</v>
      </c>
      <c r="H11" s="33">
        <f t="shared" si="10"/>
        <v>2</v>
      </c>
      <c r="I11" s="33">
        <f t="shared" si="10"/>
        <v>7</v>
      </c>
      <c r="J11" s="33">
        <f t="shared" si="10"/>
        <v>2</v>
      </c>
      <c r="K11" s="33">
        <f t="shared" ref="K11" si="11">SUM(K12:K14)</f>
        <v>1</v>
      </c>
      <c r="L11" s="33">
        <f t="shared" ref="L11" si="12">SUM(L12:L14)</f>
        <v>8</v>
      </c>
      <c r="M11" s="33">
        <f t="shared" si="10"/>
        <v>1</v>
      </c>
      <c r="N11" s="33">
        <f t="shared" ref="N11:P11" si="13">SUM(N12:N14)</f>
        <v>0</v>
      </c>
      <c r="O11" s="33"/>
      <c r="P11" s="33">
        <f t="shared" si="13"/>
        <v>1</v>
      </c>
      <c r="Q11" s="33">
        <f t="shared" ref="Q11" si="14">SUM(Q12:Q14)</f>
        <v>1</v>
      </c>
      <c r="R11" s="33">
        <f t="shared" si="10"/>
        <v>15</v>
      </c>
      <c r="S11" s="33">
        <f t="shared" si="10"/>
        <v>0</v>
      </c>
      <c r="T11" s="33">
        <f t="shared" ref="T11:X11" si="15">SUM(T12:T14)</f>
        <v>0</v>
      </c>
      <c r="U11" s="33">
        <f t="shared" si="15"/>
        <v>2</v>
      </c>
      <c r="V11" s="33"/>
      <c r="W11" s="33">
        <f t="shared" si="15"/>
        <v>1</v>
      </c>
      <c r="X11" s="33">
        <f t="shared" si="15"/>
        <v>1</v>
      </c>
      <c r="Y11" s="33">
        <f t="shared" si="10"/>
        <v>0</v>
      </c>
      <c r="Z11" s="33">
        <f>SUM(Z12:Z14)</f>
        <v>2</v>
      </c>
      <c r="AA11" s="33">
        <f>SUM(AA12:AA14)</f>
        <v>0</v>
      </c>
      <c r="AB11" s="33">
        <f t="shared" ref="AB11:AD11" si="16">SUM(AB12:AB14)</f>
        <v>0</v>
      </c>
      <c r="AC11" s="33">
        <f t="shared" si="16"/>
        <v>0</v>
      </c>
      <c r="AD11" s="33">
        <f t="shared" si="16"/>
        <v>0</v>
      </c>
      <c r="AE11" s="69">
        <f>SUM(AE12:AE14)</f>
        <v>2</v>
      </c>
      <c r="AF11" s="84">
        <f t="shared" ref="AF11:AH11" si="17">SUM(AF12:AF14)</f>
        <v>0</v>
      </c>
      <c r="AG11" s="85">
        <f t="shared" si="17"/>
        <v>0</v>
      </c>
      <c r="AH11" s="86">
        <f t="shared" si="17"/>
        <v>0</v>
      </c>
    </row>
    <row r="12" spans="1:35" s="6" customFormat="1" ht="23.25" customHeight="1" x14ac:dyDescent="0.15">
      <c r="A12" s="127"/>
      <c r="B12" s="16" t="s">
        <v>61</v>
      </c>
      <c r="C12" s="21">
        <f>SUM(D12,AF12)</f>
        <v>17</v>
      </c>
      <c r="D12" s="22">
        <f>SUM(E12:Z12)</f>
        <v>17</v>
      </c>
      <c r="E12" s="23">
        <v>1</v>
      </c>
      <c r="F12" s="23"/>
      <c r="G12" s="23"/>
      <c r="H12" s="23">
        <v>1</v>
      </c>
      <c r="I12" s="23">
        <v>2</v>
      </c>
      <c r="J12" s="23">
        <v>1</v>
      </c>
      <c r="K12" s="23"/>
      <c r="L12" s="23">
        <v>3</v>
      </c>
      <c r="M12" s="23"/>
      <c r="N12" s="23"/>
      <c r="O12" s="23"/>
      <c r="P12" s="23">
        <v>1</v>
      </c>
      <c r="Q12" s="23">
        <v>1</v>
      </c>
      <c r="R12" s="23">
        <v>4</v>
      </c>
      <c r="S12" s="23"/>
      <c r="T12" s="23"/>
      <c r="U12" s="23">
        <v>1</v>
      </c>
      <c r="V12" s="23"/>
      <c r="W12" s="24"/>
      <c r="X12" s="23">
        <v>1</v>
      </c>
      <c r="Y12" s="23"/>
      <c r="Z12" s="22">
        <f>SUM(AA12:AE12)</f>
        <v>1</v>
      </c>
      <c r="AA12" s="23"/>
      <c r="AB12" s="23"/>
      <c r="AC12" s="23"/>
      <c r="AD12" s="25"/>
      <c r="AE12" s="26">
        <v>1</v>
      </c>
      <c r="AF12" s="35">
        <f>SUM(AG12:AH12)</f>
        <v>0</v>
      </c>
      <c r="AG12" s="23">
        <v>0</v>
      </c>
      <c r="AH12" s="36"/>
      <c r="AI12" s="5"/>
    </row>
    <row r="13" spans="1:35" s="6" customFormat="1" ht="23.25" customHeight="1" x14ac:dyDescent="0.15">
      <c r="A13" s="128"/>
      <c r="B13" s="16" t="s">
        <v>60</v>
      </c>
      <c r="C13" s="21">
        <f>SUM(D13,AF13)</f>
        <v>14</v>
      </c>
      <c r="D13" s="22">
        <f>SUM(E13:Z13)</f>
        <v>14</v>
      </c>
      <c r="E13" s="23"/>
      <c r="F13" s="23"/>
      <c r="G13" s="23"/>
      <c r="H13" s="23">
        <v>1</v>
      </c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/>
      <c r="O13" s="20">
        <v>1</v>
      </c>
      <c r="P13" s="23"/>
      <c r="Q13" s="23"/>
      <c r="R13" s="23">
        <v>4</v>
      </c>
      <c r="S13" s="23"/>
      <c r="T13" s="23">
        <v>0</v>
      </c>
      <c r="U13" s="23"/>
      <c r="V13" s="20">
        <v>1</v>
      </c>
      <c r="W13" s="24">
        <v>1</v>
      </c>
      <c r="X13" s="23"/>
      <c r="Y13" s="23"/>
      <c r="Z13" s="22">
        <f>SUM(AA13:AE13)</f>
        <v>1</v>
      </c>
      <c r="AA13" s="23"/>
      <c r="AB13" s="23"/>
      <c r="AC13" s="23"/>
      <c r="AD13" s="25"/>
      <c r="AE13" s="26">
        <v>1</v>
      </c>
      <c r="AF13" s="35">
        <f t="shared" ref="AF13:AF14" si="18">SUM(AG13:AH13)</f>
        <v>0</v>
      </c>
      <c r="AG13" s="37"/>
      <c r="AH13" s="38"/>
      <c r="AI13" s="5"/>
    </row>
    <row r="14" spans="1:35" s="6" customFormat="1" ht="23.25" customHeight="1" x14ac:dyDescent="0.15">
      <c r="A14" s="128"/>
      <c r="B14" s="17" t="s">
        <v>41</v>
      </c>
      <c r="C14" s="27">
        <f>SUM(D14,AF14)</f>
        <v>17</v>
      </c>
      <c r="D14" s="28">
        <f>SUM(E14:Z14)</f>
        <v>17</v>
      </c>
      <c r="E14" s="29"/>
      <c r="F14" s="29"/>
      <c r="G14" s="29">
        <v>1</v>
      </c>
      <c r="H14" s="29"/>
      <c r="I14" s="29">
        <v>4</v>
      </c>
      <c r="J14" s="29"/>
      <c r="K14" s="29"/>
      <c r="L14" s="29">
        <v>4</v>
      </c>
      <c r="M14" s="29"/>
      <c r="N14" s="29"/>
      <c r="O14" s="29"/>
      <c r="P14" s="29"/>
      <c r="Q14" s="29"/>
      <c r="R14" s="29">
        <v>7</v>
      </c>
      <c r="S14" s="29"/>
      <c r="T14" s="29"/>
      <c r="U14" s="29">
        <v>1</v>
      </c>
      <c r="V14" s="29"/>
      <c r="W14" s="29"/>
      <c r="X14" s="29"/>
      <c r="Y14" s="29"/>
      <c r="Z14" s="22">
        <f>SUM(AA14:AE14)</f>
        <v>0</v>
      </c>
      <c r="AA14" s="29"/>
      <c r="AB14" s="29"/>
      <c r="AC14" s="30"/>
      <c r="AD14" s="31"/>
      <c r="AE14" s="32"/>
      <c r="AF14" s="39">
        <f t="shared" si="18"/>
        <v>0</v>
      </c>
      <c r="AG14" s="40"/>
      <c r="AH14" s="41"/>
      <c r="AI14" s="5"/>
    </row>
    <row r="15" spans="1:35" s="6" customFormat="1" ht="23.25" customHeight="1" x14ac:dyDescent="0.15">
      <c r="A15" s="129" t="s">
        <v>35</v>
      </c>
      <c r="B15" s="18" t="s">
        <v>34</v>
      </c>
      <c r="C15" s="70">
        <f>SUM(C16:C22)</f>
        <v>154</v>
      </c>
      <c r="D15" s="43">
        <f>SUM(D16:D22)</f>
        <v>154</v>
      </c>
      <c r="E15" s="42">
        <f>E16+E17+E18+E19+E20+E21+E22</f>
        <v>0</v>
      </c>
      <c r="F15" s="42">
        <f>F16+F17+F18+F19+F20+F21+F22</f>
        <v>1</v>
      </c>
      <c r="G15" s="42">
        <f t="shared" ref="G15:Y15" si="19">G16+G17+G18+G19+G20+G21+G22</f>
        <v>0</v>
      </c>
      <c r="H15" s="42">
        <f t="shared" si="19"/>
        <v>6</v>
      </c>
      <c r="I15" s="42">
        <f t="shared" si="19"/>
        <v>29</v>
      </c>
      <c r="J15" s="42">
        <f t="shared" si="19"/>
        <v>0</v>
      </c>
      <c r="K15" s="42">
        <f t="shared" si="19"/>
        <v>7</v>
      </c>
      <c r="L15" s="42">
        <f t="shared" si="19"/>
        <v>18</v>
      </c>
      <c r="M15" s="42">
        <f t="shared" si="19"/>
        <v>0</v>
      </c>
      <c r="N15" s="42">
        <f t="shared" si="19"/>
        <v>4</v>
      </c>
      <c r="O15" s="42">
        <f t="shared" si="19"/>
        <v>7</v>
      </c>
      <c r="P15" s="42">
        <f t="shared" si="19"/>
        <v>0</v>
      </c>
      <c r="Q15" s="42">
        <f t="shared" si="19"/>
        <v>0</v>
      </c>
      <c r="R15" s="42">
        <f t="shared" si="19"/>
        <v>31</v>
      </c>
      <c r="S15" s="42">
        <f t="shared" si="19"/>
        <v>4</v>
      </c>
      <c r="T15" s="42">
        <f t="shared" si="19"/>
        <v>3</v>
      </c>
      <c r="U15" s="42">
        <f t="shared" si="19"/>
        <v>31</v>
      </c>
      <c r="V15" s="42">
        <f t="shared" si="19"/>
        <v>7</v>
      </c>
      <c r="W15" s="42">
        <f t="shared" si="19"/>
        <v>0</v>
      </c>
      <c r="X15" s="42">
        <f t="shared" si="19"/>
        <v>4</v>
      </c>
      <c r="Y15" s="42">
        <f t="shared" si="19"/>
        <v>0</v>
      </c>
      <c r="Z15" s="43">
        <f>Z16+Z17+Z18+Z19+Z20+Z21+Z22</f>
        <v>2</v>
      </c>
      <c r="AA15" s="42">
        <f t="shared" ref="AA15" si="20">AA16+AA17+AA18+AA19+AA20+AA21+AA22</f>
        <v>0</v>
      </c>
      <c r="AB15" s="42">
        <f t="shared" ref="AB15" si="21">AB16+AB17+AB18+AB19+AB20+AB21+AB22</f>
        <v>0</v>
      </c>
      <c r="AC15" s="42">
        <f t="shared" ref="AC15" si="22">AC16+AC17+AC18+AC19+AC20+AC21+AC22</f>
        <v>0</v>
      </c>
      <c r="AD15" s="42">
        <f t="shared" ref="AD15" si="23">AD16+AD17+AD18+AD19+AD20+AD21+AD22</f>
        <v>2</v>
      </c>
      <c r="AE15" s="42">
        <f t="shared" ref="AE15" si="24">AE16+AE17+AE18+AE19+AE20+AE21+AE22</f>
        <v>0</v>
      </c>
      <c r="AF15" s="43">
        <f>AF16+AF17+AF18+AF19+AF20+AF21+AF22</f>
        <v>0</v>
      </c>
      <c r="AG15" s="42">
        <f t="shared" ref="AG15" si="25">AG16+AG17+AG18+AG19+AG20+AG21+AG22</f>
        <v>0</v>
      </c>
      <c r="AH15" s="44">
        <f>AH16+AH17+AH18+AH19+AH20+AH21+AH22</f>
        <v>0</v>
      </c>
      <c r="AI15" s="5"/>
    </row>
    <row r="16" spans="1:35" s="6" customFormat="1" ht="23.25" customHeight="1" x14ac:dyDescent="0.15">
      <c r="A16" s="128"/>
      <c r="B16" s="16" t="s">
        <v>43</v>
      </c>
      <c r="C16" s="21">
        <f t="shared" ref="C16:C22" si="26">SUM(D16,AF16)</f>
        <v>26</v>
      </c>
      <c r="D16" s="22">
        <f t="shared" ref="D16:D22" si="27">SUM(E16:Z16)</f>
        <v>26</v>
      </c>
      <c r="E16" s="23"/>
      <c r="F16" s="23">
        <v>1</v>
      </c>
      <c r="G16" s="23"/>
      <c r="H16" s="23"/>
      <c r="I16" s="23">
        <v>5</v>
      </c>
      <c r="J16" s="23"/>
      <c r="K16" s="23">
        <v>1</v>
      </c>
      <c r="L16" s="23">
        <v>3</v>
      </c>
      <c r="M16" s="23"/>
      <c r="N16" s="23">
        <v>1</v>
      </c>
      <c r="O16" s="23">
        <v>1</v>
      </c>
      <c r="P16" s="23"/>
      <c r="Q16" s="23"/>
      <c r="R16" s="23">
        <v>4</v>
      </c>
      <c r="S16" s="23">
        <v>1</v>
      </c>
      <c r="T16" s="23">
        <v>1</v>
      </c>
      <c r="U16" s="23">
        <v>6</v>
      </c>
      <c r="V16" s="23">
        <v>1</v>
      </c>
      <c r="W16" s="23">
        <v>0</v>
      </c>
      <c r="X16" s="23"/>
      <c r="Y16" s="23"/>
      <c r="Z16" s="22">
        <f>SUM(AA16:AE16)</f>
        <v>1</v>
      </c>
      <c r="AA16" s="23"/>
      <c r="AB16" s="23"/>
      <c r="AC16" s="23"/>
      <c r="AD16" s="25">
        <v>1</v>
      </c>
      <c r="AE16" s="26"/>
      <c r="AF16" s="35">
        <f>SUM(AG16:AH16)</f>
        <v>0</v>
      </c>
      <c r="AG16" s="45"/>
      <c r="AH16" s="38"/>
      <c r="AI16" s="5"/>
    </row>
    <row r="17" spans="1:35" s="6" customFormat="1" ht="23.25" customHeight="1" x14ac:dyDescent="0.15">
      <c r="A17" s="128"/>
      <c r="B17" s="16" t="s">
        <v>36</v>
      </c>
      <c r="C17" s="21">
        <f t="shared" si="26"/>
        <v>22</v>
      </c>
      <c r="D17" s="22">
        <f t="shared" si="27"/>
        <v>22</v>
      </c>
      <c r="E17" s="23"/>
      <c r="F17" s="23"/>
      <c r="G17" s="23"/>
      <c r="H17" s="23">
        <v>1</v>
      </c>
      <c r="I17" s="23">
        <v>4</v>
      </c>
      <c r="J17" s="23"/>
      <c r="K17" s="23">
        <v>1</v>
      </c>
      <c r="L17" s="23">
        <v>2</v>
      </c>
      <c r="M17" s="23"/>
      <c r="N17" s="23">
        <v>1</v>
      </c>
      <c r="O17" s="23">
        <v>1</v>
      </c>
      <c r="P17" s="23"/>
      <c r="Q17" s="23"/>
      <c r="R17" s="23">
        <v>3</v>
      </c>
      <c r="S17" s="23">
        <v>1</v>
      </c>
      <c r="T17" s="23">
        <v>1</v>
      </c>
      <c r="U17" s="23">
        <v>5</v>
      </c>
      <c r="V17" s="23">
        <v>1</v>
      </c>
      <c r="W17" s="46">
        <v>0</v>
      </c>
      <c r="X17" s="23">
        <v>1</v>
      </c>
      <c r="Y17" s="23"/>
      <c r="Z17" s="22">
        <f t="shared" ref="Z17:Z18" si="28">SUM(AA17:AE17)</f>
        <v>0</v>
      </c>
      <c r="AA17" s="23"/>
      <c r="AB17" s="23">
        <v>0</v>
      </c>
      <c r="AC17" s="23"/>
      <c r="AD17" s="25"/>
      <c r="AE17" s="26"/>
      <c r="AF17" s="35">
        <f t="shared" ref="AF17:AF18" si="29">SUM(AG17:AH17)</f>
        <v>0</v>
      </c>
      <c r="AG17" s="45"/>
      <c r="AH17" s="38">
        <v>0</v>
      </c>
      <c r="AI17" s="5"/>
    </row>
    <row r="18" spans="1:35" s="6" customFormat="1" ht="23.25" customHeight="1" x14ac:dyDescent="0.15">
      <c r="A18" s="128"/>
      <c r="B18" s="16" t="s">
        <v>42</v>
      </c>
      <c r="C18" s="21">
        <f t="shared" si="26"/>
        <v>22</v>
      </c>
      <c r="D18" s="22">
        <f t="shared" si="27"/>
        <v>22</v>
      </c>
      <c r="E18" s="23"/>
      <c r="F18" s="23"/>
      <c r="G18" s="23"/>
      <c r="H18" s="23">
        <v>1</v>
      </c>
      <c r="I18" s="23">
        <v>4</v>
      </c>
      <c r="J18" s="23"/>
      <c r="K18" s="23">
        <v>1</v>
      </c>
      <c r="L18" s="23">
        <v>3</v>
      </c>
      <c r="M18" s="23"/>
      <c r="N18" s="23"/>
      <c r="O18" s="23">
        <v>1</v>
      </c>
      <c r="P18" s="23"/>
      <c r="Q18" s="23"/>
      <c r="R18" s="23">
        <v>4</v>
      </c>
      <c r="S18" s="23"/>
      <c r="T18" s="23">
        <v>1</v>
      </c>
      <c r="U18" s="23">
        <v>5</v>
      </c>
      <c r="V18" s="23">
        <v>1</v>
      </c>
      <c r="W18" s="23"/>
      <c r="X18" s="23">
        <v>1</v>
      </c>
      <c r="Y18" s="23"/>
      <c r="Z18" s="22">
        <f t="shared" si="28"/>
        <v>0</v>
      </c>
      <c r="AA18" s="23"/>
      <c r="AB18" s="23"/>
      <c r="AC18" s="23"/>
      <c r="AD18" s="25"/>
      <c r="AE18" s="26"/>
      <c r="AF18" s="35">
        <f t="shared" si="29"/>
        <v>0</v>
      </c>
      <c r="AG18" s="45"/>
      <c r="AH18" s="38"/>
      <c r="AI18" s="5"/>
    </row>
    <row r="19" spans="1:35" s="6" customFormat="1" ht="23.25" customHeight="1" x14ac:dyDescent="0.15">
      <c r="A19" s="128"/>
      <c r="B19" s="16" t="s">
        <v>44</v>
      </c>
      <c r="C19" s="21">
        <f t="shared" si="26"/>
        <v>19</v>
      </c>
      <c r="D19" s="22">
        <f t="shared" si="27"/>
        <v>19</v>
      </c>
      <c r="E19" s="23"/>
      <c r="F19" s="23"/>
      <c r="G19" s="23"/>
      <c r="H19" s="23">
        <v>1</v>
      </c>
      <c r="I19" s="23">
        <v>4</v>
      </c>
      <c r="J19" s="23"/>
      <c r="K19" s="23">
        <v>1</v>
      </c>
      <c r="L19" s="23">
        <v>3</v>
      </c>
      <c r="M19" s="23"/>
      <c r="N19" s="23"/>
      <c r="O19" s="23">
        <v>1</v>
      </c>
      <c r="P19" s="23"/>
      <c r="Q19" s="23"/>
      <c r="R19" s="23">
        <v>5</v>
      </c>
      <c r="S19" s="23"/>
      <c r="T19" s="23"/>
      <c r="U19" s="23">
        <v>3</v>
      </c>
      <c r="V19" s="23">
        <v>1</v>
      </c>
      <c r="W19" s="23">
        <v>0</v>
      </c>
      <c r="X19" s="23">
        <v>0</v>
      </c>
      <c r="Y19" s="23"/>
      <c r="Z19" s="22">
        <f t="shared" ref="Z19:Z22" si="30">SUM(AA19:AE19)</f>
        <v>0</v>
      </c>
      <c r="AA19" s="23"/>
      <c r="AB19" s="23"/>
      <c r="AC19" s="23"/>
      <c r="AD19" s="25"/>
      <c r="AE19" s="26"/>
      <c r="AF19" s="35">
        <f t="shared" ref="AF19:AF22" si="31">SUM(AG19:AH19)</f>
        <v>0</v>
      </c>
      <c r="AG19" s="45"/>
      <c r="AH19" s="38">
        <v>0</v>
      </c>
      <c r="AI19" s="5"/>
    </row>
    <row r="20" spans="1:35" s="6" customFormat="1" ht="23.25" customHeight="1" x14ac:dyDescent="0.15">
      <c r="A20" s="128"/>
      <c r="B20" s="16" t="s">
        <v>45</v>
      </c>
      <c r="C20" s="87">
        <f t="shared" si="26"/>
        <v>24</v>
      </c>
      <c r="D20" s="22">
        <f t="shared" si="27"/>
        <v>24</v>
      </c>
      <c r="E20" s="23"/>
      <c r="F20" s="23"/>
      <c r="G20" s="23"/>
      <c r="H20" s="23">
        <v>1</v>
      </c>
      <c r="I20" s="23">
        <v>4</v>
      </c>
      <c r="J20" s="23"/>
      <c r="K20" s="23">
        <v>1</v>
      </c>
      <c r="L20" s="23">
        <v>2</v>
      </c>
      <c r="M20" s="23"/>
      <c r="N20" s="23">
        <v>1</v>
      </c>
      <c r="O20" s="23">
        <v>1</v>
      </c>
      <c r="P20" s="23"/>
      <c r="Q20" s="23"/>
      <c r="R20" s="23">
        <v>7</v>
      </c>
      <c r="S20" s="23">
        <v>1</v>
      </c>
      <c r="T20" s="23"/>
      <c r="U20" s="23">
        <v>4</v>
      </c>
      <c r="V20" s="23">
        <v>1</v>
      </c>
      <c r="W20" s="23"/>
      <c r="X20" s="23">
        <v>1</v>
      </c>
      <c r="Y20" s="23"/>
      <c r="Z20" s="22">
        <f t="shared" si="30"/>
        <v>0</v>
      </c>
      <c r="AA20" s="23"/>
      <c r="AB20" s="23"/>
      <c r="AC20" s="23"/>
      <c r="AD20" s="25"/>
      <c r="AE20" s="26"/>
      <c r="AF20" s="35">
        <f t="shared" si="31"/>
        <v>0</v>
      </c>
      <c r="AG20" s="26"/>
      <c r="AH20" s="36"/>
      <c r="AI20" s="5"/>
    </row>
    <row r="21" spans="1:35" s="6" customFormat="1" ht="23.25" customHeight="1" x14ac:dyDescent="0.15">
      <c r="A21" s="128"/>
      <c r="B21" s="19" t="s">
        <v>37</v>
      </c>
      <c r="C21" s="88">
        <f t="shared" si="26"/>
        <v>22</v>
      </c>
      <c r="D21" s="22">
        <f t="shared" si="27"/>
        <v>22</v>
      </c>
      <c r="E21" s="47"/>
      <c r="F21" s="47"/>
      <c r="G21" s="47"/>
      <c r="H21" s="47">
        <v>1</v>
      </c>
      <c r="I21" s="47">
        <v>4</v>
      </c>
      <c r="J21" s="47"/>
      <c r="K21" s="47">
        <v>1</v>
      </c>
      <c r="L21" s="47">
        <v>2</v>
      </c>
      <c r="M21" s="47"/>
      <c r="N21" s="47">
        <v>1</v>
      </c>
      <c r="O21" s="47">
        <v>1</v>
      </c>
      <c r="P21" s="47"/>
      <c r="Q21" s="47"/>
      <c r="R21" s="47">
        <v>4</v>
      </c>
      <c r="S21" s="47">
        <v>1</v>
      </c>
      <c r="T21" s="47"/>
      <c r="U21" s="47">
        <v>4</v>
      </c>
      <c r="V21" s="47">
        <v>1</v>
      </c>
      <c r="W21" s="47"/>
      <c r="X21" s="47">
        <v>1</v>
      </c>
      <c r="Y21" s="47"/>
      <c r="Z21" s="22">
        <f t="shared" si="30"/>
        <v>1</v>
      </c>
      <c r="AA21" s="47"/>
      <c r="AB21" s="47"/>
      <c r="AC21" s="48"/>
      <c r="AD21" s="49">
        <v>1</v>
      </c>
      <c r="AE21" s="89">
        <v>0</v>
      </c>
      <c r="AF21" s="35">
        <f t="shared" si="31"/>
        <v>0</v>
      </c>
      <c r="AG21" s="26"/>
      <c r="AH21" s="36"/>
    </row>
    <row r="22" spans="1:35" s="6" customFormat="1" ht="23.25" customHeight="1" x14ac:dyDescent="0.15">
      <c r="A22" s="130"/>
      <c r="B22" s="90" t="s">
        <v>46</v>
      </c>
      <c r="C22" s="91">
        <f t="shared" si="26"/>
        <v>19</v>
      </c>
      <c r="D22" s="51">
        <f t="shared" si="27"/>
        <v>19</v>
      </c>
      <c r="E22" s="50"/>
      <c r="F22" s="50"/>
      <c r="G22" s="50"/>
      <c r="H22" s="50">
        <v>1</v>
      </c>
      <c r="I22" s="50">
        <v>4</v>
      </c>
      <c r="J22" s="50"/>
      <c r="K22" s="50">
        <v>1</v>
      </c>
      <c r="L22" s="50">
        <v>3</v>
      </c>
      <c r="M22" s="50"/>
      <c r="N22" s="50"/>
      <c r="O22" s="50">
        <v>1</v>
      </c>
      <c r="P22" s="50"/>
      <c r="Q22" s="50"/>
      <c r="R22" s="50">
        <v>4</v>
      </c>
      <c r="S22" s="50"/>
      <c r="T22" s="50"/>
      <c r="U22" s="50">
        <v>4</v>
      </c>
      <c r="V22" s="50">
        <v>1</v>
      </c>
      <c r="W22" s="50">
        <v>0</v>
      </c>
      <c r="X22" s="50">
        <v>0</v>
      </c>
      <c r="Y22" s="50"/>
      <c r="Z22" s="51">
        <f t="shared" si="30"/>
        <v>0</v>
      </c>
      <c r="AA22" s="50"/>
      <c r="AB22" s="50"/>
      <c r="AC22" s="50"/>
      <c r="AD22" s="52"/>
      <c r="AE22" s="53"/>
      <c r="AF22" s="54">
        <f t="shared" si="31"/>
        <v>0</v>
      </c>
      <c r="AG22" s="53"/>
      <c r="AH22" s="55"/>
    </row>
  </sheetData>
  <mergeCells count="19">
    <mergeCell ref="A8:B8"/>
    <mergeCell ref="A10:B10"/>
    <mergeCell ref="A11:A14"/>
    <mergeCell ref="A15:A22"/>
    <mergeCell ref="L6:Q6"/>
    <mergeCell ref="A2:AH2"/>
    <mergeCell ref="AF5:AH5"/>
    <mergeCell ref="AF6:AF7"/>
    <mergeCell ref="AG6:AH6"/>
    <mergeCell ref="A5:B7"/>
    <mergeCell ref="C5:C7"/>
    <mergeCell ref="D6:D7"/>
    <mergeCell ref="E6:E7"/>
    <mergeCell ref="I6:J6"/>
    <mergeCell ref="U6:Y6"/>
    <mergeCell ref="D5:AE5"/>
    <mergeCell ref="AA6:AE6"/>
    <mergeCell ref="Z6:Z7"/>
    <mergeCell ref="R6:T6"/>
  </mergeCells>
  <phoneticPr fontId="3" type="noConversion"/>
  <pageMargins left="0.51" right="0.46" top="0.59055118110236227" bottom="0.59055118110236227" header="0.11811023622047245" footer="0.11811023622047245"/>
  <pageSetup paperSize="9" scale="84" orientation="landscape" r:id="rId1"/>
  <headerFooter alignWithMargins="0"/>
  <ignoredErrors>
    <ignoredError sqref="C15:D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2"/>
  <sheetViews>
    <sheetView showGridLines="0" view="pageBreakPreview" zoomScaleSheetLayoutView="100" workbookViewId="0">
      <pane xSplit="4" ySplit="10" topLeftCell="E11" activePane="bottomRight" state="frozen"/>
      <selection activeCell="Q12" sqref="Q12"/>
      <selection pane="topRight" activeCell="Q12" sqref="Q12"/>
      <selection pane="bottomLeft" activeCell="Q12" sqref="Q12"/>
      <selection pane="bottomRight" activeCell="A2" sqref="A2:AJ2"/>
    </sheetView>
  </sheetViews>
  <sheetFormatPr defaultRowHeight="10.5" x14ac:dyDescent="0.15"/>
  <cols>
    <col min="1" max="1" width="3.21875" style="1" customWidth="1"/>
    <col min="2" max="2" width="13.77734375" style="1" customWidth="1"/>
    <col min="3" max="4" width="5.77734375" style="1" customWidth="1"/>
    <col min="5" max="6" width="3.77734375" style="1" customWidth="1"/>
    <col min="7" max="7" width="3.77734375" style="12" customWidth="1"/>
    <col min="8" max="36" width="3.77734375" style="1" customWidth="1"/>
    <col min="37" max="247" width="8.88671875" style="1"/>
    <col min="248" max="248" width="3.21875" style="1" customWidth="1"/>
    <col min="249" max="249" width="9.6640625" style="1" customWidth="1"/>
    <col min="250" max="250" width="5.5546875" style="1" bestFit="1" customWidth="1"/>
    <col min="251" max="251" width="4.88671875" style="1" customWidth="1"/>
    <col min="252" max="258" width="3.109375" style="1" customWidth="1"/>
    <col min="259" max="259" width="4.109375" style="1" customWidth="1"/>
    <col min="260" max="260" width="3.109375" style="1" customWidth="1"/>
    <col min="261" max="261" width="3.88671875" style="1" customWidth="1"/>
    <col min="262" max="263" width="3.109375" style="1" customWidth="1"/>
    <col min="264" max="264" width="4.44140625" style="1" bestFit="1" customWidth="1"/>
    <col min="265" max="266" width="4.6640625" style="1" bestFit="1" customWidth="1"/>
    <col min="267" max="267" width="3.88671875" style="1" customWidth="1"/>
    <col min="268" max="271" width="3" style="1" customWidth="1"/>
    <col min="272" max="276" width="3.109375" style="1" customWidth="1"/>
    <col min="277" max="277" width="4.33203125" style="1" customWidth="1"/>
    <col min="278" max="278" width="3.88671875" style="1" customWidth="1"/>
    <col min="279" max="279" width="3.77734375" style="1" customWidth="1"/>
    <col min="280" max="280" width="3.109375" style="1" customWidth="1"/>
    <col min="281" max="503" width="8.88671875" style="1"/>
    <col min="504" max="504" width="3.21875" style="1" customWidth="1"/>
    <col min="505" max="505" width="9.6640625" style="1" customWidth="1"/>
    <col min="506" max="506" width="5.5546875" style="1" bestFit="1" customWidth="1"/>
    <col min="507" max="507" width="4.88671875" style="1" customWidth="1"/>
    <col min="508" max="514" width="3.109375" style="1" customWidth="1"/>
    <col min="515" max="515" width="4.109375" style="1" customWidth="1"/>
    <col min="516" max="516" width="3.109375" style="1" customWidth="1"/>
    <col min="517" max="517" width="3.88671875" style="1" customWidth="1"/>
    <col min="518" max="519" width="3.109375" style="1" customWidth="1"/>
    <col min="520" max="520" width="4.44140625" style="1" bestFit="1" customWidth="1"/>
    <col min="521" max="522" width="4.6640625" style="1" bestFit="1" customWidth="1"/>
    <col min="523" max="523" width="3.88671875" style="1" customWidth="1"/>
    <col min="524" max="527" width="3" style="1" customWidth="1"/>
    <col min="528" max="532" width="3.109375" style="1" customWidth="1"/>
    <col min="533" max="533" width="4.33203125" style="1" customWidth="1"/>
    <col min="534" max="534" width="3.88671875" style="1" customWidth="1"/>
    <col min="535" max="535" width="3.77734375" style="1" customWidth="1"/>
    <col min="536" max="536" width="3.109375" style="1" customWidth="1"/>
    <col min="537" max="759" width="8.88671875" style="1"/>
    <col min="760" max="760" width="3.21875" style="1" customWidth="1"/>
    <col min="761" max="761" width="9.6640625" style="1" customWidth="1"/>
    <col min="762" max="762" width="5.5546875" style="1" bestFit="1" customWidth="1"/>
    <col min="763" max="763" width="4.88671875" style="1" customWidth="1"/>
    <col min="764" max="770" width="3.109375" style="1" customWidth="1"/>
    <col min="771" max="771" width="4.109375" style="1" customWidth="1"/>
    <col min="772" max="772" width="3.109375" style="1" customWidth="1"/>
    <col min="773" max="773" width="3.88671875" style="1" customWidth="1"/>
    <col min="774" max="775" width="3.109375" style="1" customWidth="1"/>
    <col min="776" max="776" width="4.44140625" style="1" bestFit="1" customWidth="1"/>
    <col min="777" max="778" width="4.6640625" style="1" bestFit="1" customWidth="1"/>
    <col min="779" max="779" width="3.88671875" style="1" customWidth="1"/>
    <col min="780" max="783" width="3" style="1" customWidth="1"/>
    <col min="784" max="788" width="3.109375" style="1" customWidth="1"/>
    <col min="789" max="789" width="4.33203125" style="1" customWidth="1"/>
    <col min="790" max="790" width="3.88671875" style="1" customWidth="1"/>
    <col min="791" max="791" width="3.77734375" style="1" customWidth="1"/>
    <col min="792" max="792" width="3.109375" style="1" customWidth="1"/>
    <col min="793" max="1015" width="8.88671875" style="1"/>
    <col min="1016" max="1016" width="3.21875" style="1" customWidth="1"/>
    <col min="1017" max="1017" width="9.6640625" style="1" customWidth="1"/>
    <col min="1018" max="1018" width="5.5546875" style="1" bestFit="1" customWidth="1"/>
    <col min="1019" max="1019" width="4.88671875" style="1" customWidth="1"/>
    <col min="1020" max="1026" width="3.109375" style="1" customWidth="1"/>
    <col min="1027" max="1027" width="4.109375" style="1" customWidth="1"/>
    <col min="1028" max="1028" width="3.109375" style="1" customWidth="1"/>
    <col min="1029" max="1029" width="3.88671875" style="1" customWidth="1"/>
    <col min="1030" max="1031" width="3.109375" style="1" customWidth="1"/>
    <col min="1032" max="1032" width="4.44140625" style="1" bestFit="1" customWidth="1"/>
    <col min="1033" max="1034" width="4.6640625" style="1" bestFit="1" customWidth="1"/>
    <col min="1035" max="1035" width="3.88671875" style="1" customWidth="1"/>
    <col min="1036" max="1039" width="3" style="1" customWidth="1"/>
    <col min="1040" max="1044" width="3.109375" style="1" customWidth="1"/>
    <col min="1045" max="1045" width="4.33203125" style="1" customWidth="1"/>
    <col min="1046" max="1046" width="3.88671875" style="1" customWidth="1"/>
    <col min="1047" max="1047" width="3.77734375" style="1" customWidth="1"/>
    <col min="1048" max="1048" width="3.109375" style="1" customWidth="1"/>
    <col min="1049" max="1271" width="8.88671875" style="1"/>
    <col min="1272" max="1272" width="3.21875" style="1" customWidth="1"/>
    <col min="1273" max="1273" width="9.6640625" style="1" customWidth="1"/>
    <col min="1274" max="1274" width="5.5546875" style="1" bestFit="1" customWidth="1"/>
    <col min="1275" max="1275" width="4.88671875" style="1" customWidth="1"/>
    <col min="1276" max="1282" width="3.109375" style="1" customWidth="1"/>
    <col min="1283" max="1283" width="4.109375" style="1" customWidth="1"/>
    <col min="1284" max="1284" width="3.109375" style="1" customWidth="1"/>
    <col min="1285" max="1285" width="3.88671875" style="1" customWidth="1"/>
    <col min="1286" max="1287" width="3.109375" style="1" customWidth="1"/>
    <col min="1288" max="1288" width="4.44140625" style="1" bestFit="1" customWidth="1"/>
    <col min="1289" max="1290" width="4.6640625" style="1" bestFit="1" customWidth="1"/>
    <col min="1291" max="1291" width="3.88671875" style="1" customWidth="1"/>
    <col min="1292" max="1295" width="3" style="1" customWidth="1"/>
    <col min="1296" max="1300" width="3.109375" style="1" customWidth="1"/>
    <col min="1301" max="1301" width="4.33203125" style="1" customWidth="1"/>
    <col min="1302" max="1302" width="3.88671875" style="1" customWidth="1"/>
    <col min="1303" max="1303" width="3.77734375" style="1" customWidth="1"/>
    <col min="1304" max="1304" width="3.109375" style="1" customWidth="1"/>
    <col min="1305" max="1527" width="8.88671875" style="1"/>
    <col min="1528" max="1528" width="3.21875" style="1" customWidth="1"/>
    <col min="1529" max="1529" width="9.6640625" style="1" customWidth="1"/>
    <col min="1530" max="1530" width="5.5546875" style="1" bestFit="1" customWidth="1"/>
    <col min="1531" max="1531" width="4.88671875" style="1" customWidth="1"/>
    <col min="1532" max="1538" width="3.109375" style="1" customWidth="1"/>
    <col min="1539" max="1539" width="4.109375" style="1" customWidth="1"/>
    <col min="1540" max="1540" width="3.109375" style="1" customWidth="1"/>
    <col min="1541" max="1541" width="3.88671875" style="1" customWidth="1"/>
    <col min="1542" max="1543" width="3.109375" style="1" customWidth="1"/>
    <col min="1544" max="1544" width="4.44140625" style="1" bestFit="1" customWidth="1"/>
    <col min="1545" max="1546" width="4.6640625" style="1" bestFit="1" customWidth="1"/>
    <col min="1547" max="1547" width="3.88671875" style="1" customWidth="1"/>
    <col min="1548" max="1551" width="3" style="1" customWidth="1"/>
    <col min="1552" max="1556" width="3.109375" style="1" customWidth="1"/>
    <col min="1557" max="1557" width="4.33203125" style="1" customWidth="1"/>
    <col min="1558" max="1558" width="3.88671875" style="1" customWidth="1"/>
    <col min="1559" max="1559" width="3.77734375" style="1" customWidth="1"/>
    <col min="1560" max="1560" width="3.109375" style="1" customWidth="1"/>
    <col min="1561" max="1783" width="8.88671875" style="1"/>
    <col min="1784" max="1784" width="3.21875" style="1" customWidth="1"/>
    <col min="1785" max="1785" width="9.6640625" style="1" customWidth="1"/>
    <col min="1786" max="1786" width="5.5546875" style="1" bestFit="1" customWidth="1"/>
    <col min="1787" max="1787" width="4.88671875" style="1" customWidth="1"/>
    <col min="1788" max="1794" width="3.109375" style="1" customWidth="1"/>
    <col min="1795" max="1795" width="4.109375" style="1" customWidth="1"/>
    <col min="1796" max="1796" width="3.109375" style="1" customWidth="1"/>
    <col min="1797" max="1797" width="3.88671875" style="1" customWidth="1"/>
    <col min="1798" max="1799" width="3.109375" style="1" customWidth="1"/>
    <col min="1800" max="1800" width="4.44140625" style="1" bestFit="1" customWidth="1"/>
    <col min="1801" max="1802" width="4.6640625" style="1" bestFit="1" customWidth="1"/>
    <col min="1803" max="1803" width="3.88671875" style="1" customWidth="1"/>
    <col min="1804" max="1807" width="3" style="1" customWidth="1"/>
    <col min="1808" max="1812" width="3.109375" style="1" customWidth="1"/>
    <col min="1813" max="1813" width="4.33203125" style="1" customWidth="1"/>
    <col min="1814" max="1814" width="3.88671875" style="1" customWidth="1"/>
    <col min="1815" max="1815" width="3.77734375" style="1" customWidth="1"/>
    <col min="1816" max="1816" width="3.109375" style="1" customWidth="1"/>
    <col min="1817" max="2039" width="8.88671875" style="1"/>
    <col min="2040" max="2040" width="3.21875" style="1" customWidth="1"/>
    <col min="2041" max="2041" width="9.6640625" style="1" customWidth="1"/>
    <col min="2042" max="2042" width="5.5546875" style="1" bestFit="1" customWidth="1"/>
    <col min="2043" max="2043" width="4.88671875" style="1" customWidth="1"/>
    <col min="2044" max="2050" width="3.109375" style="1" customWidth="1"/>
    <col min="2051" max="2051" width="4.109375" style="1" customWidth="1"/>
    <col min="2052" max="2052" width="3.109375" style="1" customWidth="1"/>
    <col min="2053" max="2053" width="3.88671875" style="1" customWidth="1"/>
    <col min="2054" max="2055" width="3.109375" style="1" customWidth="1"/>
    <col min="2056" max="2056" width="4.44140625" style="1" bestFit="1" customWidth="1"/>
    <col min="2057" max="2058" width="4.6640625" style="1" bestFit="1" customWidth="1"/>
    <col min="2059" max="2059" width="3.88671875" style="1" customWidth="1"/>
    <col min="2060" max="2063" width="3" style="1" customWidth="1"/>
    <col min="2064" max="2068" width="3.109375" style="1" customWidth="1"/>
    <col min="2069" max="2069" width="4.33203125" style="1" customWidth="1"/>
    <col min="2070" max="2070" width="3.88671875" style="1" customWidth="1"/>
    <col min="2071" max="2071" width="3.77734375" style="1" customWidth="1"/>
    <col min="2072" max="2072" width="3.109375" style="1" customWidth="1"/>
    <col min="2073" max="2295" width="8.88671875" style="1"/>
    <col min="2296" max="2296" width="3.21875" style="1" customWidth="1"/>
    <col min="2297" max="2297" width="9.6640625" style="1" customWidth="1"/>
    <col min="2298" max="2298" width="5.5546875" style="1" bestFit="1" customWidth="1"/>
    <col min="2299" max="2299" width="4.88671875" style="1" customWidth="1"/>
    <col min="2300" max="2306" width="3.109375" style="1" customWidth="1"/>
    <col min="2307" max="2307" width="4.109375" style="1" customWidth="1"/>
    <col min="2308" max="2308" width="3.109375" style="1" customWidth="1"/>
    <col min="2309" max="2309" width="3.88671875" style="1" customWidth="1"/>
    <col min="2310" max="2311" width="3.109375" style="1" customWidth="1"/>
    <col min="2312" max="2312" width="4.44140625" style="1" bestFit="1" customWidth="1"/>
    <col min="2313" max="2314" width="4.6640625" style="1" bestFit="1" customWidth="1"/>
    <col min="2315" max="2315" width="3.88671875" style="1" customWidth="1"/>
    <col min="2316" max="2319" width="3" style="1" customWidth="1"/>
    <col min="2320" max="2324" width="3.109375" style="1" customWidth="1"/>
    <col min="2325" max="2325" width="4.33203125" style="1" customWidth="1"/>
    <col min="2326" max="2326" width="3.88671875" style="1" customWidth="1"/>
    <col min="2327" max="2327" width="3.77734375" style="1" customWidth="1"/>
    <col min="2328" max="2328" width="3.109375" style="1" customWidth="1"/>
    <col min="2329" max="2551" width="8.88671875" style="1"/>
    <col min="2552" max="2552" width="3.21875" style="1" customWidth="1"/>
    <col min="2553" max="2553" width="9.6640625" style="1" customWidth="1"/>
    <col min="2554" max="2554" width="5.5546875" style="1" bestFit="1" customWidth="1"/>
    <col min="2555" max="2555" width="4.88671875" style="1" customWidth="1"/>
    <col min="2556" max="2562" width="3.109375" style="1" customWidth="1"/>
    <col min="2563" max="2563" width="4.109375" style="1" customWidth="1"/>
    <col min="2564" max="2564" width="3.109375" style="1" customWidth="1"/>
    <col min="2565" max="2565" width="3.88671875" style="1" customWidth="1"/>
    <col min="2566" max="2567" width="3.109375" style="1" customWidth="1"/>
    <col min="2568" max="2568" width="4.44140625" style="1" bestFit="1" customWidth="1"/>
    <col min="2569" max="2570" width="4.6640625" style="1" bestFit="1" customWidth="1"/>
    <col min="2571" max="2571" width="3.88671875" style="1" customWidth="1"/>
    <col min="2572" max="2575" width="3" style="1" customWidth="1"/>
    <col min="2576" max="2580" width="3.109375" style="1" customWidth="1"/>
    <col min="2581" max="2581" width="4.33203125" style="1" customWidth="1"/>
    <col min="2582" max="2582" width="3.88671875" style="1" customWidth="1"/>
    <col min="2583" max="2583" width="3.77734375" style="1" customWidth="1"/>
    <col min="2584" max="2584" width="3.109375" style="1" customWidth="1"/>
    <col min="2585" max="2807" width="8.88671875" style="1"/>
    <col min="2808" max="2808" width="3.21875" style="1" customWidth="1"/>
    <col min="2809" max="2809" width="9.6640625" style="1" customWidth="1"/>
    <col min="2810" max="2810" width="5.5546875" style="1" bestFit="1" customWidth="1"/>
    <col min="2811" max="2811" width="4.88671875" style="1" customWidth="1"/>
    <col min="2812" max="2818" width="3.109375" style="1" customWidth="1"/>
    <col min="2819" max="2819" width="4.109375" style="1" customWidth="1"/>
    <col min="2820" max="2820" width="3.109375" style="1" customWidth="1"/>
    <col min="2821" max="2821" width="3.88671875" style="1" customWidth="1"/>
    <col min="2822" max="2823" width="3.109375" style="1" customWidth="1"/>
    <col min="2824" max="2824" width="4.44140625" style="1" bestFit="1" customWidth="1"/>
    <col min="2825" max="2826" width="4.6640625" style="1" bestFit="1" customWidth="1"/>
    <col min="2827" max="2827" width="3.88671875" style="1" customWidth="1"/>
    <col min="2828" max="2831" width="3" style="1" customWidth="1"/>
    <col min="2832" max="2836" width="3.109375" style="1" customWidth="1"/>
    <col min="2837" max="2837" width="4.33203125" style="1" customWidth="1"/>
    <col min="2838" max="2838" width="3.88671875" style="1" customWidth="1"/>
    <col min="2839" max="2839" width="3.77734375" style="1" customWidth="1"/>
    <col min="2840" max="2840" width="3.109375" style="1" customWidth="1"/>
    <col min="2841" max="3063" width="8.88671875" style="1"/>
    <col min="3064" max="3064" width="3.21875" style="1" customWidth="1"/>
    <col min="3065" max="3065" width="9.6640625" style="1" customWidth="1"/>
    <col min="3066" max="3066" width="5.5546875" style="1" bestFit="1" customWidth="1"/>
    <col min="3067" max="3067" width="4.88671875" style="1" customWidth="1"/>
    <col min="3068" max="3074" width="3.109375" style="1" customWidth="1"/>
    <col min="3075" max="3075" width="4.109375" style="1" customWidth="1"/>
    <col min="3076" max="3076" width="3.109375" style="1" customWidth="1"/>
    <col min="3077" max="3077" width="3.88671875" style="1" customWidth="1"/>
    <col min="3078" max="3079" width="3.109375" style="1" customWidth="1"/>
    <col min="3080" max="3080" width="4.44140625" style="1" bestFit="1" customWidth="1"/>
    <col min="3081" max="3082" width="4.6640625" style="1" bestFit="1" customWidth="1"/>
    <col min="3083" max="3083" width="3.88671875" style="1" customWidth="1"/>
    <col min="3084" max="3087" width="3" style="1" customWidth="1"/>
    <col min="3088" max="3092" width="3.109375" style="1" customWidth="1"/>
    <col min="3093" max="3093" width="4.33203125" style="1" customWidth="1"/>
    <col min="3094" max="3094" width="3.88671875" style="1" customWidth="1"/>
    <col min="3095" max="3095" width="3.77734375" style="1" customWidth="1"/>
    <col min="3096" max="3096" width="3.109375" style="1" customWidth="1"/>
    <col min="3097" max="3319" width="8.88671875" style="1"/>
    <col min="3320" max="3320" width="3.21875" style="1" customWidth="1"/>
    <col min="3321" max="3321" width="9.6640625" style="1" customWidth="1"/>
    <col min="3322" max="3322" width="5.5546875" style="1" bestFit="1" customWidth="1"/>
    <col min="3323" max="3323" width="4.88671875" style="1" customWidth="1"/>
    <col min="3324" max="3330" width="3.109375" style="1" customWidth="1"/>
    <col min="3331" max="3331" width="4.109375" style="1" customWidth="1"/>
    <col min="3332" max="3332" width="3.109375" style="1" customWidth="1"/>
    <col min="3333" max="3333" width="3.88671875" style="1" customWidth="1"/>
    <col min="3334" max="3335" width="3.109375" style="1" customWidth="1"/>
    <col min="3336" max="3336" width="4.44140625" style="1" bestFit="1" customWidth="1"/>
    <col min="3337" max="3338" width="4.6640625" style="1" bestFit="1" customWidth="1"/>
    <col min="3339" max="3339" width="3.88671875" style="1" customWidth="1"/>
    <col min="3340" max="3343" width="3" style="1" customWidth="1"/>
    <col min="3344" max="3348" width="3.109375" style="1" customWidth="1"/>
    <col min="3349" max="3349" width="4.33203125" style="1" customWidth="1"/>
    <col min="3350" max="3350" width="3.88671875" style="1" customWidth="1"/>
    <col min="3351" max="3351" width="3.77734375" style="1" customWidth="1"/>
    <col min="3352" max="3352" width="3.109375" style="1" customWidth="1"/>
    <col min="3353" max="3575" width="8.88671875" style="1"/>
    <col min="3576" max="3576" width="3.21875" style="1" customWidth="1"/>
    <col min="3577" max="3577" width="9.6640625" style="1" customWidth="1"/>
    <col min="3578" max="3578" width="5.5546875" style="1" bestFit="1" customWidth="1"/>
    <col min="3579" max="3579" width="4.88671875" style="1" customWidth="1"/>
    <col min="3580" max="3586" width="3.109375" style="1" customWidth="1"/>
    <col min="3587" max="3587" width="4.109375" style="1" customWidth="1"/>
    <col min="3588" max="3588" width="3.109375" style="1" customWidth="1"/>
    <col min="3589" max="3589" width="3.88671875" style="1" customWidth="1"/>
    <col min="3590" max="3591" width="3.109375" style="1" customWidth="1"/>
    <col min="3592" max="3592" width="4.44140625" style="1" bestFit="1" customWidth="1"/>
    <col min="3593" max="3594" width="4.6640625" style="1" bestFit="1" customWidth="1"/>
    <col min="3595" max="3595" width="3.88671875" style="1" customWidth="1"/>
    <col min="3596" max="3599" width="3" style="1" customWidth="1"/>
    <col min="3600" max="3604" width="3.109375" style="1" customWidth="1"/>
    <col min="3605" max="3605" width="4.33203125" style="1" customWidth="1"/>
    <col min="3606" max="3606" width="3.88671875" style="1" customWidth="1"/>
    <col min="3607" max="3607" width="3.77734375" style="1" customWidth="1"/>
    <col min="3608" max="3608" width="3.109375" style="1" customWidth="1"/>
    <col min="3609" max="3831" width="8.88671875" style="1"/>
    <col min="3832" max="3832" width="3.21875" style="1" customWidth="1"/>
    <col min="3833" max="3833" width="9.6640625" style="1" customWidth="1"/>
    <col min="3834" max="3834" width="5.5546875" style="1" bestFit="1" customWidth="1"/>
    <col min="3835" max="3835" width="4.88671875" style="1" customWidth="1"/>
    <col min="3836" max="3842" width="3.109375" style="1" customWidth="1"/>
    <col min="3843" max="3843" width="4.109375" style="1" customWidth="1"/>
    <col min="3844" max="3844" width="3.109375" style="1" customWidth="1"/>
    <col min="3845" max="3845" width="3.88671875" style="1" customWidth="1"/>
    <col min="3846" max="3847" width="3.109375" style="1" customWidth="1"/>
    <col min="3848" max="3848" width="4.44140625" style="1" bestFit="1" customWidth="1"/>
    <col min="3849" max="3850" width="4.6640625" style="1" bestFit="1" customWidth="1"/>
    <col min="3851" max="3851" width="3.88671875" style="1" customWidth="1"/>
    <col min="3852" max="3855" width="3" style="1" customWidth="1"/>
    <col min="3856" max="3860" width="3.109375" style="1" customWidth="1"/>
    <col min="3861" max="3861" width="4.33203125" style="1" customWidth="1"/>
    <col min="3862" max="3862" width="3.88671875" style="1" customWidth="1"/>
    <col min="3863" max="3863" width="3.77734375" style="1" customWidth="1"/>
    <col min="3864" max="3864" width="3.109375" style="1" customWidth="1"/>
    <col min="3865" max="4087" width="8.88671875" style="1"/>
    <col min="4088" max="4088" width="3.21875" style="1" customWidth="1"/>
    <col min="4089" max="4089" width="9.6640625" style="1" customWidth="1"/>
    <col min="4090" max="4090" width="5.5546875" style="1" bestFit="1" customWidth="1"/>
    <col min="4091" max="4091" width="4.88671875" style="1" customWidth="1"/>
    <col min="4092" max="4098" width="3.109375" style="1" customWidth="1"/>
    <col min="4099" max="4099" width="4.109375" style="1" customWidth="1"/>
    <col min="4100" max="4100" width="3.109375" style="1" customWidth="1"/>
    <col min="4101" max="4101" width="3.88671875" style="1" customWidth="1"/>
    <col min="4102" max="4103" width="3.109375" style="1" customWidth="1"/>
    <col min="4104" max="4104" width="4.44140625" style="1" bestFit="1" customWidth="1"/>
    <col min="4105" max="4106" width="4.6640625" style="1" bestFit="1" customWidth="1"/>
    <col min="4107" max="4107" width="3.88671875" style="1" customWidth="1"/>
    <col min="4108" max="4111" width="3" style="1" customWidth="1"/>
    <col min="4112" max="4116" width="3.109375" style="1" customWidth="1"/>
    <col min="4117" max="4117" width="4.33203125" style="1" customWidth="1"/>
    <col min="4118" max="4118" width="3.88671875" style="1" customWidth="1"/>
    <col min="4119" max="4119" width="3.77734375" style="1" customWidth="1"/>
    <col min="4120" max="4120" width="3.109375" style="1" customWidth="1"/>
    <col min="4121" max="4343" width="8.88671875" style="1"/>
    <col min="4344" max="4344" width="3.21875" style="1" customWidth="1"/>
    <col min="4345" max="4345" width="9.6640625" style="1" customWidth="1"/>
    <col min="4346" max="4346" width="5.5546875" style="1" bestFit="1" customWidth="1"/>
    <col min="4347" max="4347" width="4.88671875" style="1" customWidth="1"/>
    <col min="4348" max="4354" width="3.109375" style="1" customWidth="1"/>
    <col min="4355" max="4355" width="4.109375" style="1" customWidth="1"/>
    <col min="4356" max="4356" width="3.109375" style="1" customWidth="1"/>
    <col min="4357" max="4357" width="3.88671875" style="1" customWidth="1"/>
    <col min="4358" max="4359" width="3.109375" style="1" customWidth="1"/>
    <col min="4360" max="4360" width="4.44140625" style="1" bestFit="1" customWidth="1"/>
    <col min="4361" max="4362" width="4.6640625" style="1" bestFit="1" customWidth="1"/>
    <col min="4363" max="4363" width="3.88671875" style="1" customWidth="1"/>
    <col min="4364" max="4367" width="3" style="1" customWidth="1"/>
    <col min="4368" max="4372" width="3.109375" style="1" customWidth="1"/>
    <col min="4373" max="4373" width="4.33203125" style="1" customWidth="1"/>
    <col min="4374" max="4374" width="3.88671875" style="1" customWidth="1"/>
    <col min="4375" max="4375" width="3.77734375" style="1" customWidth="1"/>
    <col min="4376" max="4376" width="3.109375" style="1" customWidth="1"/>
    <col min="4377" max="4599" width="8.88671875" style="1"/>
    <col min="4600" max="4600" width="3.21875" style="1" customWidth="1"/>
    <col min="4601" max="4601" width="9.6640625" style="1" customWidth="1"/>
    <col min="4602" max="4602" width="5.5546875" style="1" bestFit="1" customWidth="1"/>
    <col min="4603" max="4603" width="4.88671875" style="1" customWidth="1"/>
    <col min="4604" max="4610" width="3.109375" style="1" customWidth="1"/>
    <col min="4611" max="4611" width="4.109375" style="1" customWidth="1"/>
    <col min="4612" max="4612" width="3.109375" style="1" customWidth="1"/>
    <col min="4613" max="4613" width="3.88671875" style="1" customWidth="1"/>
    <col min="4614" max="4615" width="3.109375" style="1" customWidth="1"/>
    <col min="4616" max="4616" width="4.44140625" style="1" bestFit="1" customWidth="1"/>
    <col min="4617" max="4618" width="4.6640625" style="1" bestFit="1" customWidth="1"/>
    <col min="4619" max="4619" width="3.88671875" style="1" customWidth="1"/>
    <col min="4620" max="4623" width="3" style="1" customWidth="1"/>
    <col min="4624" max="4628" width="3.109375" style="1" customWidth="1"/>
    <col min="4629" max="4629" width="4.33203125" style="1" customWidth="1"/>
    <col min="4630" max="4630" width="3.88671875" style="1" customWidth="1"/>
    <col min="4631" max="4631" width="3.77734375" style="1" customWidth="1"/>
    <col min="4632" max="4632" width="3.109375" style="1" customWidth="1"/>
    <col min="4633" max="4855" width="8.88671875" style="1"/>
    <col min="4856" max="4856" width="3.21875" style="1" customWidth="1"/>
    <col min="4857" max="4857" width="9.6640625" style="1" customWidth="1"/>
    <col min="4858" max="4858" width="5.5546875" style="1" bestFit="1" customWidth="1"/>
    <col min="4859" max="4859" width="4.88671875" style="1" customWidth="1"/>
    <col min="4860" max="4866" width="3.109375" style="1" customWidth="1"/>
    <col min="4867" max="4867" width="4.109375" style="1" customWidth="1"/>
    <col min="4868" max="4868" width="3.109375" style="1" customWidth="1"/>
    <col min="4869" max="4869" width="3.88671875" style="1" customWidth="1"/>
    <col min="4870" max="4871" width="3.109375" style="1" customWidth="1"/>
    <col min="4872" max="4872" width="4.44140625" style="1" bestFit="1" customWidth="1"/>
    <col min="4873" max="4874" width="4.6640625" style="1" bestFit="1" customWidth="1"/>
    <col min="4875" max="4875" width="3.88671875" style="1" customWidth="1"/>
    <col min="4876" max="4879" width="3" style="1" customWidth="1"/>
    <col min="4880" max="4884" width="3.109375" style="1" customWidth="1"/>
    <col min="4885" max="4885" width="4.33203125" style="1" customWidth="1"/>
    <col min="4886" max="4886" width="3.88671875" style="1" customWidth="1"/>
    <col min="4887" max="4887" width="3.77734375" style="1" customWidth="1"/>
    <col min="4888" max="4888" width="3.109375" style="1" customWidth="1"/>
    <col min="4889" max="5111" width="8.88671875" style="1"/>
    <col min="5112" max="5112" width="3.21875" style="1" customWidth="1"/>
    <col min="5113" max="5113" width="9.6640625" style="1" customWidth="1"/>
    <col min="5114" max="5114" width="5.5546875" style="1" bestFit="1" customWidth="1"/>
    <col min="5115" max="5115" width="4.88671875" style="1" customWidth="1"/>
    <col min="5116" max="5122" width="3.109375" style="1" customWidth="1"/>
    <col min="5123" max="5123" width="4.109375" style="1" customWidth="1"/>
    <col min="5124" max="5124" width="3.109375" style="1" customWidth="1"/>
    <col min="5125" max="5125" width="3.88671875" style="1" customWidth="1"/>
    <col min="5126" max="5127" width="3.109375" style="1" customWidth="1"/>
    <col min="5128" max="5128" width="4.44140625" style="1" bestFit="1" customWidth="1"/>
    <col min="5129" max="5130" width="4.6640625" style="1" bestFit="1" customWidth="1"/>
    <col min="5131" max="5131" width="3.88671875" style="1" customWidth="1"/>
    <col min="5132" max="5135" width="3" style="1" customWidth="1"/>
    <col min="5136" max="5140" width="3.109375" style="1" customWidth="1"/>
    <col min="5141" max="5141" width="4.33203125" style="1" customWidth="1"/>
    <col min="5142" max="5142" width="3.88671875" style="1" customWidth="1"/>
    <col min="5143" max="5143" width="3.77734375" style="1" customWidth="1"/>
    <col min="5144" max="5144" width="3.109375" style="1" customWidth="1"/>
    <col min="5145" max="5367" width="8.88671875" style="1"/>
    <col min="5368" max="5368" width="3.21875" style="1" customWidth="1"/>
    <col min="5369" max="5369" width="9.6640625" style="1" customWidth="1"/>
    <col min="5370" max="5370" width="5.5546875" style="1" bestFit="1" customWidth="1"/>
    <col min="5371" max="5371" width="4.88671875" style="1" customWidth="1"/>
    <col min="5372" max="5378" width="3.109375" style="1" customWidth="1"/>
    <col min="5379" max="5379" width="4.109375" style="1" customWidth="1"/>
    <col min="5380" max="5380" width="3.109375" style="1" customWidth="1"/>
    <col min="5381" max="5381" width="3.88671875" style="1" customWidth="1"/>
    <col min="5382" max="5383" width="3.109375" style="1" customWidth="1"/>
    <col min="5384" max="5384" width="4.44140625" style="1" bestFit="1" customWidth="1"/>
    <col min="5385" max="5386" width="4.6640625" style="1" bestFit="1" customWidth="1"/>
    <col min="5387" max="5387" width="3.88671875" style="1" customWidth="1"/>
    <col min="5388" max="5391" width="3" style="1" customWidth="1"/>
    <col min="5392" max="5396" width="3.109375" style="1" customWidth="1"/>
    <col min="5397" max="5397" width="4.33203125" style="1" customWidth="1"/>
    <col min="5398" max="5398" width="3.88671875" style="1" customWidth="1"/>
    <col min="5399" max="5399" width="3.77734375" style="1" customWidth="1"/>
    <col min="5400" max="5400" width="3.109375" style="1" customWidth="1"/>
    <col min="5401" max="5623" width="8.88671875" style="1"/>
    <col min="5624" max="5624" width="3.21875" style="1" customWidth="1"/>
    <col min="5625" max="5625" width="9.6640625" style="1" customWidth="1"/>
    <col min="5626" max="5626" width="5.5546875" style="1" bestFit="1" customWidth="1"/>
    <col min="5627" max="5627" width="4.88671875" style="1" customWidth="1"/>
    <col min="5628" max="5634" width="3.109375" style="1" customWidth="1"/>
    <col min="5635" max="5635" width="4.109375" style="1" customWidth="1"/>
    <col min="5636" max="5636" width="3.109375" style="1" customWidth="1"/>
    <col min="5637" max="5637" width="3.88671875" style="1" customWidth="1"/>
    <col min="5638" max="5639" width="3.109375" style="1" customWidth="1"/>
    <col min="5640" max="5640" width="4.44140625" style="1" bestFit="1" customWidth="1"/>
    <col min="5641" max="5642" width="4.6640625" style="1" bestFit="1" customWidth="1"/>
    <col min="5643" max="5643" width="3.88671875" style="1" customWidth="1"/>
    <col min="5644" max="5647" width="3" style="1" customWidth="1"/>
    <col min="5648" max="5652" width="3.109375" style="1" customWidth="1"/>
    <col min="5653" max="5653" width="4.33203125" style="1" customWidth="1"/>
    <col min="5654" max="5654" width="3.88671875" style="1" customWidth="1"/>
    <col min="5655" max="5655" width="3.77734375" style="1" customWidth="1"/>
    <col min="5656" max="5656" width="3.109375" style="1" customWidth="1"/>
    <col min="5657" max="5879" width="8.88671875" style="1"/>
    <col min="5880" max="5880" width="3.21875" style="1" customWidth="1"/>
    <col min="5881" max="5881" width="9.6640625" style="1" customWidth="1"/>
    <col min="5882" max="5882" width="5.5546875" style="1" bestFit="1" customWidth="1"/>
    <col min="5883" max="5883" width="4.88671875" style="1" customWidth="1"/>
    <col min="5884" max="5890" width="3.109375" style="1" customWidth="1"/>
    <col min="5891" max="5891" width="4.109375" style="1" customWidth="1"/>
    <col min="5892" max="5892" width="3.109375" style="1" customWidth="1"/>
    <col min="5893" max="5893" width="3.88671875" style="1" customWidth="1"/>
    <col min="5894" max="5895" width="3.109375" style="1" customWidth="1"/>
    <col min="5896" max="5896" width="4.44140625" style="1" bestFit="1" customWidth="1"/>
    <col min="5897" max="5898" width="4.6640625" style="1" bestFit="1" customWidth="1"/>
    <col min="5899" max="5899" width="3.88671875" style="1" customWidth="1"/>
    <col min="5900" max="5903" width="3" style="1" customWidth="1"/>
    <col min="5904" max="5908" width="3.109375" style="1" customWidth="1"/>
    <col min="5909" max="5909" width="4.33203125" style="1" customWidth="1"/>
    <col min="5910" max="5910" width="3.88671875" style="1" customWidth="1"/>
    <col min="5911" max="5911" width="3.77734375" style="1" customWidth="1"/>
    <col min="5912" max="5912" width="3.109375" style="1" customWidth="1"/>
    <col min="5913" max="6135" width="8.88671875" style="1"/>
    <col min="6136" max="6136" width="3.21875" style="1" customWidth="1"/>
    <col min="6137" max="6137" width="9.6640625" style="1" customWidth="1"/>
    <col min="6138" max="6138" width="5.5546875" style="1" bestFit="1" customWidth="1"/>
    <col min="6139" max="6139" width="4.88671875" style="1" customWidth="1"/>
    <col min="6140" max="6146" width="3.109375" style="1" customWidth="1"/>
    <col min="6147" max="6147" width="4.109375" style="1" customWidth="1"/>
    <col min="6148" max="6148" width="3.109375" style="1" customWidth="1"/>
    <col min="6149" max="6149" width="3.88671875" style="1" customWidth="1"/>
    <col min="6150" max="6151" width="3.109375" style="1" customWidth="1"/>
    <col min="6152" max="6152" width="4.44140625" style="1" bestFit="1" customWidth="1"/>
    <col min="6153" max="6154" width="4.6640625" style="1" bestFit="1" customWidth="1"/>
    <col min="6155" max="6155" width="3.88671875" style="1" customWidth="1"/>
    <col min="6156" max="6159" width="3" style="1" customWidth="1"/>
    <col min="6160" max="6164" width="3.109375" style="1" customWidth="1"/>
    <col min="6165" max="6165" width="4.33203125" style="1" customWidth="1"/>
    <col min="6166" max="6166" width="3.88671875" style="1" customWidth="1"/>
    <col min="6167" max="6167" width="3.77734375" style="1" customWidth="1"/>
    <col min="6168" max="6168" width="3.109375" style="1" customWidth="1"/>
    <col min="6169" max="6391" width="8.88671875" style="1"/>
    <col min="6392" max="6392" width="3.21875" style="1" customWidth="1"/>
    <col min="6393" max="6393" width="9.6640625" style="1" customWidth="1"/>
    <col min="6394" max="6394" width="5.5546875" style="1" bestFit="1" customWidth="1"/>
    <col min="6395" max="6395" width="4.88671875" style="1" customWidth="1"/>
    <col min="6396" max="6402" width="3.109375" style="1" customWidth="1"/>
    <col min="6403" max="6403" width="4.109375" style="1" customWidth="1"/>
    <col min="6404" max="6404" width="3.109375" style="1" customWidth="1"/>
    <col min="6405" max="6405" width="3.88671875" style="1" customWidth="1"/>
    <col min="6406" max="6407" width="3.109375" style="1" customWidth="1"/>
    <col min="6408" max="6408" width="4.44140625" style="1" bestFit="1" customWidth="1"/>
    <col min="6409" max="6410" width="4.6640625" style="1" bestFit="1" customWidth="1"/>
    <col min="6411" max="6411" width="3.88671875" style="1" customWidth="1"/>
    <col min="6412" max="6415" width="3" style="1" customWidth="1"/>
    <col min="6416" max="6420" width="3.109375" style="1" customWidth="1"/>
    <col min="6421" max="6421" width="4.33203125" style="1" customWidth="1"/>
    <col min="6422" max="6422" width="3.88671875" style="1" customWidth="1"/>
    <col min="6423" max="6423" width="3.77734375" style="1" customWidth="1"/>
    <col min="6424" max="6424" width="3.109375" style="1" customWidth="1"/>
    <col min="6425" max="6647" width="8.88671875" style="1"/>
    <col min="6648" max="6648" width="3.21875" style="1" customWidth="1"/>
    <col min="6649" max="6649" width="9.6640625" style="1" customWidth="1"/>
    <col min="6650" max="6650" width="5.5546875" style="1" bestFit="1" customWidth="1"/>
    <col min="6651" max="6651" width="4.88671875" style="1" customWidth="1"/>
    <col min="6652" max="6658" width="3.109375" style="1" customWidth="1"/>
    <col min="6659" max="6659" width="4.109375" style="1" customWidth="1"/>
    <col min="6660" max="6660" width="3.109375" style="1" customWidth="1"/>
    <col min="6661" max="6661" width="3.88671875" style="1" customWidth="1"/>
    <col min="6662" max="6663" width="3.109375" style="1" customWidth="1"/>
    <col min="6664" max="6664" width="4.44140625" style="1" bestFit="1" customWidth="1"/>
    <col min="6665" max="6666" width="4.6640625" style="1" bestFit="1" customWidth="1"/>
    <col min="6667" max="6667" width="3.88671875" style="1" customWidth="1"/>
    <col min="6668" max="6671" width="3" style="1" customWidth="1"/>
    <col min="6672" max="6676" width="3.109375" style="1" customWidth="1"/>
    <col min="6677" max="6677" width="4.33203125" style="1" customWidth="1"/>
    <col min="6678" max="6678" width="3.88671875" style="1" customWidth="1"/>
    <col min="6679" max="6679" width="3.77734375" style="1" customWidth="1"/>
    <col min="6680" max="6680" width="3.109375" style="1" customWidth="1"/>
    <col min="6681" max="6903" width="8.88671875" style="1"/>
    <col min="6904" max="6904" width="3.21875" style="1" customWidth="1"/>
    <col min="6905" max="6905" width="9.6640625" style="1" customWidth="1"/>
    <col min="6906" max="6906" width="5.5546875" style="1" bestFit="1" customWidth="1"/>
    <col min="6907" max="6907" width="4.88671875" style="1" customWidth="1"/>
    <col min="6908" max="6914" width="3.109375" style="1" customWidth="1"/>
    <col min="6915" max="6915" width="4.109375" style="1" customWidth="1"/>
    <col min="6916" max="6916" width="3.109375" style="1" customWidth="1"/>
    <col min="6917" max="6917" width="3.88671875" style="1" customWidth="1"/>
    <col min="6918" max="6919" width="3.109375" style="1" customWidth="1"/>
    <col min="6920" max="6920" width="4.44140625" style="1" bestFit="1" customWidth="1"/>
    <col min="6921" max="6922" width="4.6640625" style="1" bestFit="1" customWidth="1"/>
    <col min="6923" max="6923" width="3.88671875" style="1" customWidth="1"/>
    <col min="6924" max="6927" width="3" style="1" customWidth="1"/>
    <col min="6928" max="6932" width="3.109375" style="1" customWidth="1"/>
    <col min="6933" max="6933" width="4.33203125" style="1" customWidth="1"/>
    <col min="6934" max="6934" width="3.88671875" style="1" customWidth="1"/>
    <col min="6935" max="6935" width="3.77734375" style="1" customWidth="1"/>
    <col min="6936" max="6936" width="3.109375" style="1" customWidth="1"/>
    <col min="6937" max="7159" width="8.88671875" style="1"/>
    <col min="7160" max="7160" width="3.21875" style="1" customWidth="1"/>
    <col min="7161" max="7161" width="9.6640625" style="1" customWidth="1"/>
    <col min="7162" max="7162" width="5.5546875" style="1" bestFit="1" customWidth="1"/>
    <col min="7163" max="7163" width="4.88671875" style="1" customWidth="1"/>
    <col min="7164" max="7170" width="3.109375" style="1" customWidth="1"/>
    <col min="7171" max="7171" width="4.109375" style="1" customWidth="1"/>
    <col min="7172" max="7172" width="3.109375" style="1" customWidth="1"/>
    <col min="7173" max="7173" width="3.88671875" style="1" customWidth="1"/>
    <col min="7174" max="7175" width="3.109375" style="1" customWidth="1"/>
    <col min="7176" max="7176" width="4.44140625" style="1" bestFit="1" customWidth="1"/>
    <col min="7177" max="7178" width="4.6640625" style="1" bestFit="1" customWidth="1"/>
    <col min="7179" max="7179" width="3.88671875" style="1" customWidth="1"/>
    <col min="7180" max="7183" width="3" style="1" customWidth="1"/>
    <col min="7184" max="7188" width="3.109375" style="1" customWidth="1"/>
    <col min="7189" max="7189" width="4.33203125" style="1" customWidth="1"/>
    <col min="7190" max="7190" width="3.88671875" style="1" customWidth="1"/>
    <col min="7191" max="7191" width="3.77734375" style="1" customWidth="1"/>
    <col min="7192" max="7192" width="3.109375" style="1" customWidth="1"/>
    <col min="7193" max="7415" width="8.88671875" style="1"/>
    <col min="7416" max="7416" width="3.21875" style="1" customWidth="1"/>
    <col min="7417" max="7417" width="9.6640625" style="1" customWidth="1"/>
    <col min="7418" max="7418" width="5.5546875" style="1" bestFit="1" customWidth="1"/>
    <col min="7419" max="7419" width="4.88671875" style="1" customWidth="1"/>
    <col min="7420" max="7426" width="3.109375" style="1" customWidth="1"/>
    <col min="7427" max="7427" width="4.109375" style="1" customWidth="1"/>
    <col min="7428" max="7428" width="3.109375" style="1" customWidth="1"/>
    <col min="7429" max="7429" width="3.88671875" style="1" customWidth="1"/>
    <col min="7430" max="7431" width="3.109375" style="1" customWidth="1"/>
    <col min="7432" max="7432" width="4.44140625" style="1" bestFit="1" customWidth="1"/>
    <col min="7433" max="7434" width="4.6640625" style="1" bestFit="1" customWidth="1"/>
    <col min="7435" max="7435" width="3.88671875" style="1" customWidth="1"/>
    <col min="7436" max="7439" width="3" style="1" customWidth="1"/>
    <col min="7440" max="7444" width="3.109375" style="1" customWidth="1"/>
    <col min="7445" max="7445" width="4.33203125" style="1" customWidth="1"/>
    <col min="7446" max="7446" width="3.88671875" style="1" customWidth="1"/>
    <col min="7447" max="7447" width="3.77734375" style="1" customWidth="1"/>
    <col min="7448" max="7448" width="3.109375" style="1" customWidth="1"/>
    <col min="7449" max="7671" width="8.88671875" style="1"/>
    <col min="7672" max="7672" width="3.21875" style="1" customWidth="1"/>
    <col min="7673" max="7673" width="9.6640625" style="1" customWidth="1"/>
    <col min="7674" max="7674" width="5.5546875" style="1" bestFit="1" customWidth="1"/>
    <col min="7675" max="7675" width="4.88671875" style="1" customWidth="1"/>
    <col min="7676" max="7682" width="3.109375" style="1" customWidth="1"/>
    <col min="7683" max="7683" width="4.109375" style="1" customWidth="1"/>
    <col min="7684" max="7684" width="3.109375" style="1" customWidth="1"/>
    <col min="7685" max="7685" width="3.88671875" style="1" customWidth="1"/>
    <col min="7686" max="7687" width="3.109375" style="1" customWidth="1"/>
    <col min="7688" max="7688" width="4.44140625" style="1" bestFit="1" customWidth="1"/>
    <col min="7689" max="7690" width="4.6640625" style="1" bestFit="1" customWidth="1"/>
    <col min="7691" max="7691" width="3.88671875" style="1" customWidth="1"/>
    <col min="7692" max="7695" width="3" style="1" customWidth="1"/>
    <col min="7696" max="7700" width="3.109375" style="1" customWidth="1"/>
    <col min="7701" max="7701" width="4.33203125" style="1" customWidth="1"/>
    <col min="7702" max="7702" width="3.88671875" style="1" customWidth="1"/>
    <col min="7703" max="7703" width="3.77734375" style="1" customWidth="1"/>
    <col min="7704" max="7704" width="3.109375" style="1" customWidth="1"/>
    <col min="7705" max="7927" width="8.88671875" style="1"/>
    <col min="7928" max="7928" width="3.21875" style="1" customWidth="1"/>
    <col min="7929" max="7929" width="9.6640625" style="1" customWidth="1"/>
    <col min="7930" max="7930" width="5.5546875" style="1" bestFit="1" customWidth="1"/>
    <col min="7931" max="7931" width="4.88671875" style="1" customWidth="1"/>
    <col min="7932" max="7938" width="3.109375" style="1" customWidth="1"/>
    <col min="7939" max="7939" width="4.109375" style="1" customWidth="1"/>
    <col min="7940" max="7940" width="3.109375" style="1" customWidth="1"/>
    <col min="7941" max="7941" width="3.88671875" style="1" customWidth="1"/>
    <col min="7942" max="7943" width="3.109375" style="1" customWidth="1"/>
    <col min="7944" max="7944" width="4.44140625" style="1" bestFit="1" customWidth="1"/>
    <col min="7945" max="7946" width="4.6640625" style="1" bestFit="1" customWidth="1"/>
    <col min="7947" max="7947" width="3.88671875" style="1" customWidth="1"/>
    <col min="7948" max="7951" width="3" style="1" customWidth="1"/>
    <col min="7952" max="7956" width="3.109375" style="1" customWidth="1"/>
    <col min="7957" max="7957" width="4.33203125" style="1" customWidth="1"/>
    <col min="7958" max="7958" width="3.88671875" style="1" customWidth="1"/>
    <col min="7959" max="7959" width="3.77734375" style="1" customWidth="1"/>
    <col min="7960" max="7960" width="3.109375" style="1" customWidth="1"/>
    <col min="7961" max="8183" width="8.88671875" style="1"/>
    <col min="8184" max="8184" width="3.21875" style="1" customWidth="1"/>
    <col min="8185" max="8185" width="9.6640625" style="1" customWidth="1"/>
    <col min="8186" max="8186" width="5.5546875" style="1" bestFit="1" customWidth="1"/>
    <col min="8187" max="8187" width="4.88671875" style="1" customWidth="1"/>
    <col min="8188" max="8194" width="3.109375" style="1" customWidth="1"/>
    <col min="8195" max="8195" width="4.109375" style="1" customWidth="1"/>
    <col min="8196" max="8196" width="3.109375" style="1" customWidth="1"/>
    <col min="8197" max="8197" width="3.88671875" style="1" customWidth="1"/>
    <col min="8198" max="8199" width="3.109375" style="1" customWidth="1"/>
    <col min="8200" max="8200" width="4.44140625" style="1" bestFit="1" customWidth="1"/>
    <col min="8201" max="8202" width="4.6640625" style="1" bestFit="1" customWidth="1"/>
    <col min="8203" max="8203" width="3.88671875" style="1" customWidth="1"/>
    <col min="8204" max="8207" width="3" style="1" customWidth="1"/>
    <col min="8208" max="8212" width="3.109375" style="1" customWidth="1"/>
    <col min="8213" max="8213" width="4.33203125" style="1" customWidth="1"/>
    <col min="8214" max="8214" width="3.88671875" style="1" customWidth="1"/>
    <col min="8215" max="8215" width="3.77734375" style="1" customWidth="1"/>
    <col min="8216" max="8216" width="3.109375" style="1" customWidth="1"/>
    <col min="8217" max="8439" width="8.88671875" style="1"/>
    <col min="8440" max="8440" width="3.21875" style="1" customWidth="1"/>
    <col min="8441" max="8441" width="9.6640625" style="1" customWidth="1"/>
    <col min="8442" max="8442" width="5.5546875" style="1" bestFit="1" customWidth="1"/>
    <col min="8443" max="8443" width="4.88671875" style="1" customWidth="1"/>
    <col min="8444" max="8450" width="3.109375" style="1" customWidth="1"/>
    <col min="8451" max="8451" width="4.109375" style="1" customWidth="1"/>
    <col min="8452" max="8452" width="3.109375" style="1" customWidth="1"/>
    <col min="8453" max="8453" width="3.88671875" style="1" customWidth="1"/>
    <col min="8454" max="8455" width="3.109375" style="1" customWidth="1"/>
    <col min="8456" max="8456" width="4.44140625" style="1" bestFit="1" customWidth="1"/>
    <col min="8457" max="8458" width="4.6640625" style="1" bestFit="1" customWidth="1"/>
    <col min="8459" max="8459" width="3.88671875" style="1" customWidth="1"/>
    <col min="8460" max="8463" width="3" style="1" customWidth="1"/>
    <col min="8464" max="8468" width="3.109375" style="1" customWidth="1"/>
    <col min="8469" max="8469" width="4.33203125" style="1" customWidth="1"/>
    <col min="8470" max="8470" width="3.88671875" style="1" customWidth="1"/>
    <col min="8471" max="8471" width="3.77734375" style="1" customWidth="1"/>
    <col min="8472" max="8472" width="3.109375" style="1" customWidth="1"/>
    <col min="8473" max="8695" width="8.88671875" style="1"/>
    <col min="8696" max="8696" width="3.21875" style="1" customWidth="1"/>
    <col min="8697" max="8697" width="9.6640625" style="1" customWidth="1"/>
    <col min="8698" max="8698" width="5.5546875" style="1" bestFit="1" customWidth="1"/>
    <col min="8699" max="8699" width="4.88671875" style="1" customWidth="1"/>
    <col min="8700" max="8706" width="3.109375" style="1" customWidth="1"/>
    <col min="8707" max="8707" width="4.109375" style="1" customWidth="1"/>
    <col min="8708" max="8708" width="3.109375" style="1" customWidth="1"/>
    <col min="8709" max="8709" width="3.88671875" style="1" customWidth="1"/>
    <col min="8710" max="8711" width="3.109375" style="1" customWidth="1"/>
    <col min="8712" max="8712" width="4.44140625" style="1" bestFit="1" customWidth="1"/>
    <col min="8713" max="8714" width="4.6640625" style="1" bestFit="1" customWidth="1"/>
    <col min="8715" max="8715" width="3.88671875" style="1" customWidth="1"/>
    <col min="8716" max="8719" width="3" style="1" customWidth="1"/>
    <col min="8720" max="8724" width="3.109375" style="1" customWidth="1"/>
    <col min="8725" max="8725" width="4.33203125" style="1" customWidth="1"/>
    <col min="8726" max="8726" width="3.88671875" style="1" customWidth="1"/>
    <col min="8727" max="8727" width="3.77734375" style="1" customWidth="1"/>
    <col min="8728" max="8728" width="3.109375" style="1" customWidth="1"/>
    <col min="8729" max="8951" width="8.88671875" style="1"/>
    <col min="8952" max="8952" width="3.21875" style="1" customWidth="1"/>
    <col min="8953" max="8953" width="9.6640625" style="1" customWidth="1"/>
    <col min="8954" max="8954" width="5.5546875" style="1" bestFit="1" customWidth="1"/>
    <col min="8955" max="8955" width="4.88671875" style="1" customWidth="1"/>
    <col min="8956" max="8962" width="3.109375" style="1" customWidth="1"/>
    <col min="8963" max="8963" width="4.109375" style="1" customWidth="1"/>
    <col min="8964" max="8964" width="3.109375" style="1" customWidth="1"/>
    <col min="8965" max="8965" width="3.88671875" style="1" customWidth="1"/>
    <col min="8966" max="8967" width="3.109375" style="1" customWidth="1"/>
    <col min="8968" max="8968" width="4.44140625" style="1" bestFit="1" customWidth="1"/>
    <col min="8969" max="8970" width="4.6640625" style="1" bestFit="1" customWidth="1"/>
    <col min="8971" max="8971" width="3.88671875" style="1" customWidth="1"/>
    <col min="8972" max="8975" width="3" style="1" customWidth="1"/>
    <col min="8976" max="8980" width="3.109375" style="1" customWidth="1"/>
    <col min="8981" max="8981" width="4.33203125" style="1" customWidth="1"/>
    <col min="8982" max="8982" width="3.88671875" style="1" customWidth="1"/>
    <col min="8983" max="8983" width="3.77734375" style="1" customWidth="1"/>
    <col min="8984" max="8984" width="3.109375" style="1" customWidth="1"/>
    <col min="8985" max="9207" width="8.88671875" style="1"/>
    <col min="9208" max="9208" width="3.21875" style="1" customWidth="1"/>
    <col min="9209" max="9209" width="9.6640625" style="1" customWidth="1"/>
    <col min="9210" max="9210" width="5.5546875" style="1" bestFit="1" customWidth="1"/>
    <col min="9211" max="9211" width="4.88671875" style="1" customWidth="1"/>
    <col min="9212" max="9218" width="3.109375" style="1" customWidth="1"/>
    <col min="9219" max="9219" width="4.109375" style="1" customWidth="1"/>
    <col min="9220" max="9220" width="3.109375" style="1" customWidth="1"/>
    <col min="9221" max="9221" width="3.88671875" style="1" customWidth="1"/>
    <col min="9222" max="9223" width="3.109375" style="1" customWidth="1"/>
    <col min="9224" max="9224" width="4.44140625" style="1" bestFit="1" customWidth="1"/>
    <col min="9225" max="9226" width="4.6640625" style="1" bestFit="1" customWidth="1"/>
    <col min="9227" max="9227" width="3.88671875" style="1" customWidth="1"/>
    <col min="9228" max="9231" width="3" style="1" customWidth="1"/>
    <col min="9232" max="9236" width="3.109375" style="1" customWidth="1"/>
    <col min="9237" max="9237" width="4.33203125" style="1" customWidth="1"/>
    <col min="9238" max="9238" width="3.88671875" style="1" customWidth="1"/>
    <col min="9239" max="9239" width="3.77734375" style="1" customWidth="1"/>
    <col min="9240" max="9240" width="3.109375" style="1" customWidth="1"/>
    <col min="9241" max="9463" width="8.88671875" style="1"/>
    <col min="9464" max="9464" width="3.21875" style="1" customWidth="1"/>
    <col min="9465" max="9465" width="9.6640625" style="1" customWidth="1"/>
    <col min="9466" max="9466" width="5.5546875" style="1" bestFit="1" customWidth="1"/>
    <col min="9467" max="9467" width="4.88671875" style="1" customWidth="1"/>
    <col min="9468" max="9474" width="3.109375" style="1" customWidth="1"/>
    <col min="9475" max="9475" width="4.109375" style="1" customWidth="1"/>
    <col min="9476" max="9476" width="3.109375" style="1" customWidth="1"/>
    <col min="9477" max="9477" width="3.88671875" style="1" customWidth="1"/>
    <col min="9478" max="9479" width="3.109375" style="1" customWidth="1"/>
    <col min="9480" max="9480" width="4.44140625" style="1" bestFit="1" customWidth="1"/>
    <col min="9481" max="9482" width="4.6640625" style="1" bestFit="1" customWidth="1"/>
    <col min="9483" max="9483" width="3.88671875" style="1" customWidth="1"/>
    <col min="9484" max="9487" width="3" style="1" customWidth="1"/>
    <col min="9488" max="9492" width="3.109375" style="1" customWidth="1"/>
    <col min="9493" max="9493" width="4.33203125" style="1" customWidth="1"/>
    <col min="9494" max="9494" width="3.88671875" style="1" customWidth="1"/>
    <col min="9495" max="9495" width="3.77734375" style="1" customWidth="1"/>
    <col min="9496" max="9496" width="3.109375" style="1" customWidth="1"/>
    <col min="9497" max="9719" width="8.88671875" style="1"/>
    <col min="9720" max="9720" width="3.21875" style="1" customWidth="1"/>
    <col min="9721" max="9721" width="9.6640625" style="1" customWidth="1"/>
    <col min="9722" max="9722" width="5.5546875" style="1" bestFit="1" customWidth="1"/>
    <col min="9723" max="9723" width="4.88671875" style="1" customWidth="1"/>
    <col min="9724" max="9730" width="3.109375" style="1" customWidth="1"/>
    <col min="9731" max="9731" width="4.109375" style="1" customWidth="1"/>
    <col min="9732" max="9732" width="3.109375" style="1" customWidth="1"/>
    <col min="9733" max="9733" width="3.88671875" style="1" customWidth="1"/>
    <col min="9734" max="9735" width="3.109375" style="1" customWidth="1"/>
    <col min="9736" max="9736" width="4.44140625" style="1" bestFit="1" customWidth="1"/>
    <col min="9737" max="9738" width="4.6640625" style="1" bestFit="1" customWidth="1"/>
    <col min="9739" max="9739" width="3.88671875" style="1" customWidth="1"/>
    <col min="9740" max="9743" width="3" style="1" customWidth="1"/>
    <col min="9744" max="9748" width="3.109375" style="1" customWidth="1"/>
    <col min="9749" max="9749" width="4.33203125" style="1" customWidth="1"/>
    <col min="9750" max="9750" width="3.88671875" style="1" customWidth="1"/>
    <col min="9751" max="9751" width="3.77734375" style="1" customWidth="1"/>
    <col min="9752" max="9752" width="3.109375" style="1" customWidth="1"/>
    <col min="9753" max="9975" width="8.88671875" style="1"/>
    <col min="9976" max="9976" width="3.21875" style="1" customWidth="1"/>
    <col min="9977" max="9977" width="9.6640625" style="1" customWidth="1"/>
    <col min="9978" max="9978" width="5.5546875" style="1" bestFit="1" customWidth="1"/>
    <col min="9979" max="9979" width="4.88671875" style="1" customWidth="1"/>
    <col min="9980" max="9986" width="3.109375" style="1" customWidth="1"/>
    <col min="9987" max="9987" width="4.109375" style="1" customWidth="1"/>
    <col min="9988" max="9988" width="3.109375" style="1" customWidth="1"/>
    <col min="9989" max="9989" width="3.88671875" style="1" customWidth="1"/>
    <col min="9990" max="9991" width="3.109375" style="1" customWidth="1"/>
    <col min="9992" max="9992" width="4.44140625" style="1" bestFit="1" customWidth="1"/>
    <col min="9993" max="9994" width="4.6640625" style="1" bestFit="1" customWidth="1"/>
    <col min="9995" max="9995" width="3.88671875" style="1" customWidth="1"/>
    <col min="9996" max="9999" width="3" style="1" customWidth="1"/>
    <col min="10000" max="10004" width="3.109375" style="1" customWidth="1"/>
    <col min="10005" max="10005" width="4.33203125" style="1" customWidth="1"/>
    <col min="10006" max="10006" width="3.88671875" style="1" customWidth="1"/>
    <col min="10007" max="10007" width="3.77734375" style="1" customWidth="1"/>
    <col min="10008" max="10008" width="3.109375" style="1" customWidth="1"/>
    <col min="10009" max="10231" width="8.88671875" style="1"/>
    <col min="10232" max="10232" width="3.21875" style="1" customWidth="1"/>
    <col min="10233" max="10233" width="9.6640625" style="1" customWidth="1"/>
    <col min="10234" max="10234" width="5.5546875" style="1" bestFit="1" customWidth="1"/>
    <col min="10235" max="10235" width="4.88671875" style="1" customWidth="1"/>
    <col min="10236" max="10242" width="3.109375" style="1" customWidth="1"/>
    <col min="10243" max="10243" width="4.109375" style="1" customWidth="1"/>
    <col min="10244" max="10244" width="3.109375" style="1" customWidth="1"/>
    <col min="10245" max="10245" width="3.88671875" style="1" customWidth="1"/>
    <col min="10246" max="10247" width="3.109375" style="1" customWidth="1"/>
    <col min="10248" max="10248" width="4.44140625" style="1" bestFit="1" customWidth="1"/>
    <col min="10249" max="10250" width="4.6640625" style="1" bestFit="1" customWidth="1"/>
    <col min="10251" max="10251" width="3.88671875" style="1" customWidth="1"/>
    <col min="10252" max="10255" width="3" style="1" customWidth="1"/>
    <col min="10256" max="10260" width="3.109375" style="1" customWidth="1"/>
    <col min="10261" max="10261" width="4.33203125" style="1" customWidth="1"/>
    <col min="10262" max="10262" width="3.88671875" style="1" customWidth="1"/>
    <col min="10263" max="10263" width="3.77734375" style="1" customWidth="1"/>
    <col min="10264" max="10264" width="3.109375" style="1" customWidth="1"/>
    <col min="10265" max="10487" width="8.88671875" style="1"/>
    <col min="10488" max="10488" width="3.21875" style="1" customWidth="1"/>
    <col min="10489" max="10489" width="9.6640625" style="1" customWidth="1"/>
    <col min="10490" max="10490" width="5.5546875" style="1" bestFit="1" customWidth="1"/>
    <col min="10491" max="10491" width="4.88671875" style="1" customWidth="1"/>
    <col min="10492" max="10498" width="3.109375" style="1" customWidth="1"/>
    <col min="10499" max="10499" width="4.109375" style="1" customWidth="1"/>
    <col min="10500" max="10500" width="3.109375" style="1" customWidth="1"/>
    <col min="10501" max="10501" width="3.88671875" style="1" customWidth="1"/>
    <col min="10502" max="10503" width="3.109375" style="1" customWidth="1"/>
    <col min="10504" max="10504" width="4.44140625" style="1" bestFit="1" customWidth="1"/>
    <col min="10505" max="10506" width="4.6640625" style="1" bestFit="1" customWidth="1"/>
    <col min="10507" max="10507" width="3.88671875" style="1" customWidth="1"/>
    <col min="10508" max="10511" width="3" style="1" customWidth="1"/>
    <col min="10512" max="10516" width="3.109375" style="1" customWidth="1"/>
    <col min="10517" max="10517" width="4.33203125" style="1" customWidth="1"/>
    <col min="10518" max="10518" width="3.88671875" style="1" customWidth="1"/>
    <col min="10519" max="10519" width="3.77734375" style="1" customWidth="1"/>
    <col min="10520" max="10520" width="3.109375" style="1" customWidth="1"/>
    <col min="10521" max="10743" width="8.88671875" style="1"/>
    <col min="10744" max="10744" width="3.21875" style="1" customWidth="1"/>
    <col min="10745" max="10745" width="9.6640625" style="1" customWidth="1"/>
    <col min="10746" max="10746" width="5.5546875" style="1" bestFit="1" customWidth="1"/>
    <col min="10747" max="10747" width="4.88671875" style="1" customWidth="1"/>
    <col min="10748" max="10754" width="3.109375" style="1" customWidth="1"/>
    <col min="10755" max="10755" width="4.109375" style="1" customWidth="1"/>
    <col min="10756" max="10756" width="3.109375" style="1" customWidth="1"/>
    <col min="10757" max="10757" width="3.88671875" style="1" customWidth="1"/>
    <col min="10758" max="10759" width="3.109375" style="1" customWidth="1"/>
    <col min="10760" max="10760" width="4.44140625" style="1" bestFit="1" customWidth="1"/>
    <col min="10761" max="10762" width="4.6640625" style="1" bestFit="1" customWidth="1"/>
    <col min="10763" max="10763" width="3.88671875" style="1" customWidth="1"/>
    <col min="10764" max="10767" width="3" style="1" customWidth="1"/>
    <col min="10768" max="10772" width="3.109375" style="1" customWidth="1"/>
    <col min="10773" max="10773" width="4.33203125" style="1" customWidth="1"/>
    <col min="10774" max="10774" width="3.88671875" style="1" customWidth="1"/>
    <col min="10775" max="10775" width="3.77734375" style="1" customWidth="1"/>
    <col min="10776" max="10776" width="3.109375" style="1" customWidth="1"/>
    <col min="10777" max="10999" width="8.88671875" style="1"/>
    <col min="11000" max="11000" width="3.21875" style="1" customWidth="1"/>
    <col min="11001" max="11001" width="9.6640625" style="1" customWidth="1"/>
    <col min="11002" max="11002" width="5.5546875" style="1" bestFit="1" customWidth="1"/>
    <col min="11003" max="11003" width="4.88671875" style="1" customWidth="1"/>
    <col min="11004" max="11010" width="3.109375" style="1" customWidth="1"/>
    <col min="11011" max="11011" width="4.109375" style="1" customWidth="1"/>
    <col min="11012" max="11012" width="3.109375" style="1" customWidth="1"/>
    <col min="11013" max="11013" width="3.88671875" style="1" customWidth="1"/>
    <col min="11014" max="11015" width="3.109375" style="1" customWidth="1"/>
    <col min="11016" max="11016" width="4.44140625" style="1" bestFit="1" customWidth="1"/>
    <col min="11017" max="11018" width="4.6640625" style="1" bestFit="1" customWidth="1"/>
    <col min="11019" max="11019" width="3.88671875" style="1" customWidth="1"/>
    <col min="11020" max="11023" width="3" style="1" customWidth="1"/>
    <col min="11024" max="11028" width="3.109375" style="1" customWidth="1"/>
    <col min="11029" max="11029" width="4.33203125" style="1" customWidth="1"/>
    <col min="11030" max="11030" width="3.88671875" style="1" customWidth="1"/>
    <col min="11031" max="11031" width="3.77734375" style="1" customWidth="1"/>
    <col min="11032" max="11032" width="3.109375" style="1" customWidth="1"/>
    <col min="11033" max="11255" width="8.88671875" style="1"/>
    <col min="11256" max="11256" width="3.21875" style="1" customWidth="1"/>
    <col min="11257" max="11257" width="9.6640625" style="1" customWidth="1"/>
    <col min="11258" max="11258" width="5.5546875" style="1" bestFit="1" customWidth="1"/>
    <col min="11259" max="11259" width="4.88671875" style="1" customWidth="1"/>
    <col min="11260" max="11266" width="3.109375" style="1" customWidth="1"/>
    <col min="11267" max="11267" width="4.109375" style="1" customWidth="1"/>
    <col min="11268" max="11268" width="3.109375" style="1" customWidth="1"/>
    <col min="11269" max="11269" width="3.88671875" style="1" customWidth="1"/>
    <col min="11270" max="11271" width="3.109375" style="1" customWidth="1"/>
    <col min="11272" max="11272" width="4.44140625" style="1" bestFit="1" customWidth="1"/>
    <col min="11273" max="11274" width="4.6640625" style="1" bestFit="1" customWidth="1"/>
    <col min="11275" max="11275" width="3.88671875" style="1" customWidth="1"/>
    <col min="11276" max="11279" width="3" style="1" customWidth="1"/>
    <col min="11280" max="11284" width="3.109375" style="1" customWidth="1"/>
    <col min="11285" max="11285" width="4.33203125" style="1" customWidth="1"/>
    <col min="11286" max="11286" width="3.88671875" style="1" customWidth="1"/>
    <col min="11287" max="11287" width="3.77734375" style="1" customWidth="1"/>
    <col min="11288" max="11288" width="3.109375" style="1" customWidth="1"/>
    <col min="11289" max="11511" width="8.88671875" style="1"/>
    <col min="11512" max="11512" width="3.21875" style="1" customWidth="1"/>
    <col min="11513" max="11513" width="9.6640625" style="1" customWidth="1"/>
    <col min="11514" max="11514" width="5.5546875" style="1" bestFit="1" customWidth="1"/>
    <col min="11515" max="11515" width="4.88671875" style="1" customWidth="1"/>
    <col min="11516" max="11522" width="3.109375" style="1" customWidth="1"/>
    <col min="11523" max="11523" width="4.109375" style="1" customWidth="1"/>
    <col min="11524" max="11524" width="3.109375" style="1" customWidth="1"/>
    <col min="11525" max="11525" width="3.88671875" style="1" customWidth="1"/>
    <col min="11526" max="11527" width="3.109375" style="1" customWidth="1"/>
    <col min="11528" max="11528" width="4.44140625" style="1" bestFit="1" customWidth="1"/>
    <col min="11529" max="11530" width="4.6640625" style="1" bestFit="1" customWidth="1"/>
    <col min="11531" max="11531" width="3.88671875" style="1" customWidth="1"/>
    <col min="11532" max="11535" width="3" style="1" customWidth="1"/>
    <col min="11536" max="11540" width="3.109375" style="1" customWidth="1"/>
    <col min="11541" max="11541" width="4.33203125" style="1" customWidth="1"/>
    <col min="11542" max="11542" width="3.88671875" style="1" customWidth="1"/>
    <col min="11543" max="11543" width="3.77734375" style="1" customWidth="1"/>
    <col min="11544" max="11544" width="3.109375" style="1" customWidth="1"/>
    <col min="11545" max="11767" width="8.88671875" style="1"/>
    <col min="11768" max="11768" width="3.21875" style="1" customWidth="1"/>
    <col min="11769" max="11769" width="9.6640625" style="1" customWidth="1"/>
    <col min="11770" max="11770" width="5.5546875" style="1" bestFit="1" customWidth="1"/>
    <col min="11771" max="11771" width="4.88671875" style="1" customWidth="1"/>
    <col min="11772" max="11778" width="3.109375" style="1" customWidth="1"/>
    <col min="11779" max="11779" width="4.109375" style="1" customWidth="1"/>
    <col min="11780" max="11780" width="3.109375" style="1" customWidth="1"/>
    <col min="11781" max="11781" width="3.88671875" style="1" customWidth="1"/>
    <col min="11782" max="11783" width="3.109375" style="1" customWidth="1"/>
    <col min="11784" max="11784" width="4.44140625" style="1" bestFit="1" customWidth="1"/>
    <col min="11785" max="11786" width="4.6640625" style="1" bestFit="1" customWidth="1"/>
    <col min="11787" max="11787" width="3.88671875" style="1" customWidth="1"/>
    <col min="11788" max="11791" width="3" style="1" customWidth="1"/>
    <col min="11792" max="11796" width="3.109375" style="1" customWidth="1"/>
    <col min="11797" max="11797" width="4.33203125" style="1" customWidth="1"/>
    <col min="11798" max="11798" width="3.88671875" style="1" customWidth="1"/>
    <col min="11799" max="11799" width="3.77734375" style="1" customWidth="1"/>
    <col min="11800" max="11800" width="3.109375" style="1" customWidth="1"/>
    <col min="11801" max="12023" width="8.88671875" style="1"/>
    <col min="12024" max="12024" width="3.21875" style="1" customWidth="1"/>
    <col min="12025" max="12025" width="9.6640625" style="1" customWidth="1"/>
    <col min="12026" max="12026" width="5.5546875" style="1" bestFit="1" customWidth="1"/>
    <col min="12027" max="12027" width="4.88671875" style="1" customWidth="1"/>
    <col min="12028" max="12034" width="3.109375" style="1" customWidth="1"/>
    <col min="12035" max="12035" width="4.109375" style="1" customWidth="1"/>
    <col min="12036" max="12036" width="3.109375" style="1" customWidth="1"/>
    <col min="12037" max="12037" width="3.88671875" style="1" customWidth="1"/>
    <col min="12038" max="12039" width="3.109375" style="1" customWidth="1"/>
    <col min="12040" max="12040" width="4.44140625" style="1" bestFit="1" customWidth="1"/>
    <col min="12041" max="12042" width="4.6640625" style="1" bestFit="1" customWidth="1"/>
    <col min="12043" max="12043" width="3.88671875" style="1" customWidth="1"/>
    <col min="12044" max="12047" width="3" style="1" customWidth="1"/>
    <col min="12048" max="12052" width="3.109375" style="1" customWidth="1"/>
    <col min="12053" max="12053" width="4.33203125" style="1" customWidth="1"/>
    <col min="12054" max="12054" width="3.88671875" style="1" customWidth="1"/>
    <col min="12055" max="12055" width="3.77734375" style="1" customWidth="1"/>
    <col min="12056" max="12056" width="3.109375" style="1" customWidth="1"/>
    <col min="12057" max="12279" width="8.88671875" style="1"/>
    <col min="12280" max="12280" width="3.21875" style="1" customWidth="1"/>
    <col min="12281" max="12281" width="9.6640625" style="1" customWidth="1"/>
    <col min="12282" max="12282" width="5.5546875" style="1" bestFit="1" customWidth="1"/>
    <col min="12283" max="12283" width="4.88671875" style="1" customWidth="1"/>
    <col min="12284" max="12290" width="3.109375" style="1" customWidth="1"/>
    <col min="12291" max="12291" width="4.109375" style="1" customWidth="1"/>
    <col min="12292" max="12292" width="3.109375" style="1" customWidth="1"/>
    <col min="12293" max="12293" width="3.88671875" style="1" customWidth="1"/>
    <col min="12294" max="12295" width="3.109375" style="1" customWidth="1"/>
    <col min="12296" max="12296" width="4.44140625" style="1" bestFit="1" customWidth="1"/>
    <col min="12297" max="12298" width="4.6640625" style="1" bestFit="1" customWidth="1"/>
    <col min="12299" max="12299" width="3.88671875" style="1" customWidth="1"/>
    <col min="12300" max="12303" width="3" style="1" customWidth="1"/>
    <col min="12304" max="12308" width="3.109375" style="1" customWidth="1"/>
    <col min="12309" max="12309" width="4.33203125" style="1" customWidth="1"/>
    <col min="12310" max="12310" width="3.88671875" style="1" customWidth="1"/>
    <col min="12311" max="12311" width="3.77734375" style="1" customWidth="1"/>
    <col min="12312" max="12312" width="3.109375" style="1" customWidth="1"/>
    <col min="12313" max="12535" width="8.88671875" style="1"/>
    <col min="12536" max="12536" width="3.21875" style="1" customWidth="1"/>
    <col min="12537" max="12537" width="9.6640625" style="1" customWidth="1"/>
    <col min="12538" max="12538" width="5.5546875" style="1" bestFit="1" customWidth="1"/>
    <col min="12539" max="12539" width="4.88671875" style="1" customWidth="1"/>
    <col min="12540" max="12546" width="3.109375" style="1" customWidth="1"/>
    <col min="12547" max="12547" width="4.109375" style="1" customWidth="1"/>
    <col min="12548" max="12548" width="3.109375" style="1" customWidth="1"/>
    <col min="12549" max="12549" width="3.88671875" style="1" customWidth="1"/>
    <col min="12550" max="12551" width="3.109375" style="1" customWidth="1"/>
    <col min="12552" max="12552" width="4.44140625" style="1" bestFit="1" customWidth="1"/>
    <col min="12553" max="12554" width="4.6640625" style="1" bestFit="1" customWidth="1"/>
    <col min="12555" max="12555" width="3.88671875" style="1" customWidth="1"/>
    <col min="12556" max="12559" width="3" style="1" customWidth="1"/>
    <col min="12560" max="12564" width="3.109375" style="1" customWidth="1"/>
    <col min="12565" max="12565" width="4.33203125" style="1" customWidth="1"/>
    <col min="12566" max="12566" width="3.88671875" style="1" customWidth="1"/>
    <col min="12567" max="12567" width="3.77734375" style="1" customWidth="1"/>
    <col min="12568" max="12568" width="3.109375" style="1" customWidth="1"/>
    <col min="12569" max="12791" width="8.88671875" style="1"/>
    <col min="12792" max="12792" width="3.21875" style="1" customWidth="1"/>
    <col min="12793" max="12793" width="9.6640625" style="1" customWidth="1"/>
    <col min="12794" max="12794" width="5.5546875" style="1" bestFit="1" customWidth="1"/>
    <col min="12795" max="12795" width="4.88671875" style="1" customWidth="1"/>
    <col min="12796" max="12802" width="3.109375" style="1" customWidth="1"/>
    <col min="12803" max="12803" width="4.109375" style="1" customWidth="1"/>
    <col min="12804" max="12804" width="3.109375" style="1" customWidth="1"/>
    <col min="12805" max="12805" width="3.88671875" style="1" customWidth="1"/>
    <col min="12806" max="12807" width="3.109375" style="1" customWidth="1"/>
    <col min="12808" max="12808" width="4.44140625" style="1" bestFit="1" customWidth="1"/>
    <col min="12809" max="12810" width="4.6640625" style="1" bestFit="1" customWidth="1"/>
    <col min="12811" max="12811" width="3.88671875" style="1" customWidth="1"/>
    <col min="12812" max="12815" width="3" style="1" customWidth="1"/>
    <col min="12816" max="12820" width="3.109375" style="1" customWidth="1"/>
    <col min="12821" max="12821" width="4.33203125" style="1" customWidth="1"/>
    <col min="12822" max="12822" width="3.88671875" style="1" customWidth="1"/>
    <col min="12823" max="12823" width="3.77734375" style="1" customWidth="1"/>
    <col min="12824" max="12824" width="3.109375" style="1" customWidth="1"/>
    <col min="12825" max="13047" width="8.88671875" style="1"/>
    <col min="13048" max="13048" width="3.21875" style="1" customWidth="1"/>
    <col min="13049" max="13049" width="9.6640625" style="1" customWidth="1"/>
    <col min="13050" max="13050" width="5.5546875" style="1" bestFit="1" customWidth="1"/>
    <col min="13051" max="13051" width="4.88671875" style="1" customWidth="1"/>
    <col min="13052" max="13058" width="3.109375" style="1" customWidth="1"/>
    <col min="13059" max="13059" width="4.109375" style="1" customWidth="1"/>
    <col min="13060" max="13060" width="3.109375" style="1" customWidth="1"/>
    <col min="13061" max="13061" width="3.88671875" style="1" customWidth="1"/>
    <col min="13062" max="13063" width="3.109375" style="1" customWidth="1"/>
    <col min="13064" max="13064" width="4.44140625" style="1" bestFit="1" customWidth="1"/>
    <col min="13065" max="13066" width="4.6640625" style="1" bestFit="1" customWidth="1"/>
    <col min="13067" max="13067" width="3.88671875" style="1" customWidth="1"/>
    <col min="13068" max="13071" width="3" style="1" customWidth="1"/>
    <col min="13072" max="13076" width="3.109375" style="1" customWidth="1"/>
    <col min="13077" max="13077" width="4.33203125" style="1" customWidth="1"/>
    <col min="13078" max="13078" width="3.88671875" style="1" customWidth="1"/>
    <col min="13079" max="13079" width="3.77734375" style="1" customWidth="1"/>
    <col min="13080" max="13080" width="3.109375" style="1" customWidth="1"/>
    <col min="13081" max="13303" width="8.88671875" style="1"/>
    <col min="13304" max="13304" width="3.21875" style="1" customWidth="1"/>
    <col min="13305" max="13305" width="9.6640625" style="1" customWidth="1"/>
    <col min="13306" max="13306" width="5.5546875" style="1" bestFit="1" customWidth="1"/>
    <col min="13307" max="13307" width="4.88671875" style="1" customWidth="1"/>
    <col min="13308" max="13314" width="3.109375" style="1" customWidth="1"/>
    <col min="13315" max="13315" width="4.109375" style="1" customWidth="1"/>
    <col min="13316" max="13316" width="3.109375" style="1" customWidth="1"/>
    <col min="13317" max="13317" width="3.88671875" style="1" customWidth="1"/>
    <col min="13318" max="13319" width="3.109375" style="1" customWidth="1"/>
    <col min="13320" max="13320" width="4.44140625" style="1" bestFit="1" customWidth="1"/>
    <col min="13321" max="13322" width="4.6640625" style="1" bestFit="1" customWidth="1"/>
    <col min="13323" max="13323" width="3.88671875" style="1" customWidth="1"/>
    <col min="13324" max="13327" width="3" style="1" customWidth="1"/>
    <col min="13328" max="13332" width="3.109375" style="1" customWidth="1"/>
    <col min="13333" max="13333" width="4.33203125" style="1" customWidth="1"/>
    <col min="13334" max="13334" width="3.88671875" style="1" customWidth="1"/>
    <col min="13335" max="13335" width="3.77734375" style="1" customWidth="1"/>
    <col min="13336" max="13336" width="3.109375" style="1" customWidth="1"/>
    <col min="13337" max="13559" width="8.88671875" style="1"/>
    <col min="13560" max="13560" width="3.21875" style="1" customWidth="1"/>
    <col min="13561" max="13561" width="9.6640625" style="1" customWidth="1"/>
    <col min="13562" max="13562" width="5.5546875" style="1" bestFit="1" customWidth="1"/>
    <col min="13563" max="13563" width="4.88671875" style="1" customWidth="1"/>
    <col min="13564" max="13570" width="3.109375" style="1" customWidth="1"/>
    <col min="13571" max="13571" width="4.109375" style="1" customWidth="1"/>
    <col min="13572" max="13572" width="3.109375" style="1" customWidth="1"/>
    <col min="13573" max="13573" width="3.88671875" style="1" customWidth="1"/>
    <col min="13574" max="13575" width="3.109375" style="1" customWidth="1"/>
    <col min="13576" max="13576" width="4.44140625" style="1" bestFit="1" customWidth="1"/>
    <col min="13577" max="13578" width="4.6640625" style="1" bestFit="1" customWidth="1"/>
    <col min="13579" max="13579" width="3.88671875" style="1" customWidth="1"/>
    <col min="13580" max="13583" width="3" style="1" customWidth="1"/>
    <col min="13584" max="13588" width="3.109375" style="1" customWidth="1"/>
    <col min="13589" max="13589" width="4.33203125" style="1" customWidth="1"/>
    <col min="13590" max="13590" width="3.88671875" style="1" customWidth="1"/>
    <col min="13591" max="13591" width="3.77734375" style="1" customWidth="1"/>
    <col min="13592" max="13592" width="3.109375" style="1" customWidth="1"/>
    <col min="13593" max="13815" width="8.88671875" style="1"/>
    <col min="13816" max="13816" width="3.21875" style="1" customWidth="1"/>
    <col min="13817" max="13817" width="9.6640625" style="1" customWidth="1"/>
    <col min="13818" max="13818" width="5.5546875" style="1" bestFit="1" customWidth="1"/>
    <col min="13819" max="13819" width="4.88671875" style="1" customWidth="1"/>
    <col min="13820" max="13826" width="3.109375" style="1" customWidth="1"/>
    <col min="13827" max="13827" width="4.109375" style="1" customWidth="1"/>
    <col min="13828" max="13828" width="3.109375" style="1" customWidth="1"/>
    <col min="13829" max="13829" width="3.88671875" style="1" customWidth="1"/>
    <col min="13830" max="13831" width="3.109375" style="1" customWidth="1"/>
    <col min="13832" max="13832" width="4.44140625" style="1" bestFit="1" customWidth="1"/>
    <col min="13833" max="13834" width="4.6640625" style="1" bestFit="1" customWidth="1"/>
    <col min="13835" max="13835" width="3.88671875" style="1" customWidth="1"/>
    <col min="13836" max="13839" width="3" style="1" customWidth="1"/>
    <col min="13840" max="13844" width="3.109375" style="1" customWidth="1"/>
    <col min="13845" max="13845" width="4.33203125" style="1" customWidth="1"/>
    <col min="13846" max="13846" width="3.88671875" style="1" customWidth="1"/>
    <col min="13847" max="13847" width="3.77734375" style="1" customWidth="1"/>
    <col min="13848" max="13848" width="3.109375" style="1" customWidth="1"/>
    <col min="13849" max="14071" width="8.88671875" style="1"/>
    <col min="14072" max="14072" width="3.21875" style="1" customWidth="1"/>
    <col min="14073" max="14073" width="9.6640625" style="1" customWidth="1"/>
    <col min="14074" max="14074" width="5.5546875" style="1" bestFit="1" customWidth="1"/>
    <col min="14075" max="14075" width="4.88671875" style="1" customWidth="1"/>
    <col min="14076" max="14082" width="3.109375" style="1" customWidth="1"/>
    <col min="14083" max="14083" width="4.109375" style="1" customWidth="1"/>
    <col min="14084" max="14084" width="3.109375" style="1" customWidth="1"/>
    <col min="14085" max="14085" width="3.88671875" style="1" customWidth="1"/>
    <col min="14086" max="14087" width="3.109375" style="1" customWidth="1"/>
    <col min="14088" max="14088" width="4.44140625" style="1" bestFit="1" customWidth="1"/>
    <col min="14089" max="14090" width="4.6640625" style="1" bestFit="1" customWidth="1"/>
    <col min="14091" max="14091" width="3.88671875" style="1" customWidth="1"/>
    <col min="14092" max="14095" width="3" style="1" customWidth="1"/>
    <col min="14096" max="14100" width="3.109375" style="1" customWidth="1"/>
    <col min="14101" max="14101" width="4.33203125" style="1" customWidth="1"/>
    <col min="14102" max="14102" width="3.88671875" style="1" customWidth="1"/>
    <col min="14103" max="14103" width="3.77734375" style="1" customWidth="1"/>
    <col min="14104" max="14104" width="3.109375" style="1" customWidth="1"/>
    <col min="14105" max="14327" width="8.88671875" style="1"/>
    <col min="14328" max="14328" width="3.21875" style="1" customWidth="1"/>
    <col min="14329" max="14329" width="9.6640625" style="1" customWidth="1"/>
    <col min="14330" max="14330" width="5.5546875" style="1" bestFit="1" customWidth="1"/>
    <col min="14331" max="14331" width="4.88671875" style="1" customWidth="1"/>
    <col min="14332" max="14338" width="3.109375" style="1" customWidth="1"/>
    <col min="14339" max="14339" width="4.109375" style="1" customWidth="1"/>
    <col min="14340" max="14340" width="3.109375" style="1" customWidth="1"/>
    <col min="14341" max="14341" width="3.88671875" style="1" customWidth="1"/>
    <col min="14342" max="14343" width="3.109375" style="1" customWidth="1"/>
    <col min="14344" max="14344" width="4.44140625" style="1" bestFit="1" customWidth="1"/>
    <col min="14345" max="14346" width="4.6640625" style="1" bestFit="1" customWidth="1"/>
    <col min="14347" max="14347" width="3.88671875" style="1" customWidth="1"/>
    <col min="14348" max="14351" width="3" style="1" customWidth="1"/>
    <col min="14352" max="14356" width="3.109375" style="1" customWidth="1"/>
    <col min="14357" max="14357" width="4.33203125" style="1" customWidth="1"/>
    <col min="14358" max="14358" width="3.88671875" style="1" customWidth="1"/>
    <col min="14359" max="14359" width="3.77734375" style="1" customWidth="1"/>
    <col min="14360" max="14360" width="3.109375" style="1" customWidth="1"/>
    <col min="14361" max="14583" width="8.88671875" style="1"/>
    <col min="14584" max="14584" width="3.21875" style="1" customWidth="1"/>
    <col min="14585" max="14585" width="9.6640625" style="1" customWidth="1"/>
    <col min="14586" max="14586" width="5.5546875" style="1" bestFit="1" customWidth="1"/>
    <col min="14587" max="14587" width="4.88671875" style="1" customWidth="1"/>
    <col min="14588" max="14594" width="3.109375" style="1" customWidth="1"/>
    <col min="14595" max="14595" width="4.109375" style="1" customWidth="1"/>
    <col min="14596" max="14596" width="3.109375" style="1" customWidth="1"/>
    <col min="14597" max="14597" width="3.88671875" style="1" customWidth="1"/>
    <col min="14598" max="14599" width="3.109375" style="1" customWidth="1"/>
    <col min="14600" max="14600" width="4.44140625" style="1" bestFit="1" customWidth="1"/>
    <col min="14601" max="14602" width="4.6640625" style="1" bestFit="1" customWidth="1"/>
    <col min="14603" max="14603" width="3.88671875" style="1" customWidth="1"/>
    <col min="14604" max="14607" width="3" style="1" customWidth="1"/>
    <col min="14608" max="14612" width="3.109375" style="1" customWidth="1"/>
    <col min="14613" max="14613" width="4.33203125" style="1" customWidth="1"/>
    <col min="14614" max="14614" width="3.88671875" style="1" customWidth="1"/>
    <col min="14615" max="14615" width="3.77734375" style="1" customWidth="1"/>
    <col min="14616" max="14616" width="3.109375" style="1" customWidth="1"/>
    <col min="14617" max="14839" width="8.88671875" style="1"/>
    <col min="14840" max="14840" width="3.21875" style="1" customWidth="1"/>
    <col min="14841" max="14841" width="9.6640625" style="1" customWidth="1"/>
    <col min="14842" max="14842" width="5.5546875" style="1" bestFit="1" customWidth="1"/>
    <col min="14843" max="14843" width="4.88671875" style="1" customWidth="1"/>
    <col min="14844" max="14850" width="3.109375" style="1" customWidth="1"/>
    <col min="14851" max="14851" width="4.109375" style="1" customWidth="1"/>
    <col min="14852" max="14852" width="3.109375" style="1" customWidth="1"/>
    <col min="14853" max="14853" width="3.88671875" style="1" customWidth="1"/>
    <col min="14854" max="14855" width="3.109375" style="1" customWidth="1"/>
    <col min="14856" max="14856" width="4.44140625" style="1" bestFit="1" customWidth="1"/>
    <col min="14857" max="14858" width="4.6640625" style="1" bestFit="1" customWidth="1"/>
    <col min="14859" max="14859" width="3.88671875" style="1" customWidth="1"/>
    <col min="14860" max="14863" width="3" style="1" customWidth="1"/>
    <col min="14864" max="14868" width="3.109375" style="1" customWidth="1"/>
    <col min="14869" max="14869" width="4.33203125" style="1" customWidth="1"/>
    <col min="14870" max="14870" width="3.88671875" style="1" customWidth="1"/>
    <col min="14871" max="14871" width="3.77734375" style="1" customWidth="1"/>
    <col min="14872" max="14872" width="3.109375" style="1" customWidth="1"/>
    <col min="14873" max="15095" width="8.88671875" style="1"/>
    <col min="15096" max="15096" width="3.21875" style="1" customWidth="1"/>
    <col min="15097" max="15097" width="9.6640625" style="1" customWidth="1"/>
    <col min="15098" max="15098" width="5.5546875" style="1" bestFit="1" customWidth="1"/>
    <col min="15099" max="15099" width="4.88671875" style="1" customWidth="1"/>
    <col min="15100" max="15106" width="3.109375" style="1" customWidth="1"/>
    <col min="15107" max="15107" width="4.109375" style="1" customWidth="1"/>
    <col min="15108" max="15108" width="3.109375" style="1" customWidth="1"/>
    <col min="15109" max="15109" width="3.88671875" style="1" customWidth="1"/>
    <col min="15110" max="15111" width="3.109375" style="1" customWidth="1"/>
    <col min="15112" max="15112" width="4.44140625" style="1" bestFit="1" customWidth="1"/>
    <col min="15113" max="15114" width="4.6640625" style="1" bestFit="1" customWidth="1"/>
    <col min="15115" max="15115" width="3.88671875" style="1" customWidth="1"/>
    <col min="15116" max="15119" width="3" style="1" customWidth="1"/>
    <col min="15120" max="15124" width="3.109375" style="1" customWidth="1"/>
    <col min="15125" max="15125" width="4.33203125" style="1" customWidth="1"/>
    <col min="15126" max="15126" width="3.88671875" style="1" customWidth="1"/>
    <col min="15127" max="15127" width="3.77734375" style="1" customWidth="1"/>
    <col min="15128" max="15128" width="3.109375" style="1" customWidth="1"/>
    <col min="15129" max="15351" width="8.88671875" style="1"/>
    <col min="15352" max="15352" width="3.21875" style="1" customWidth="1"/>
    <col min="15353" max="15353" width="9.6640625" style="1" customWidth="1"/>
    <col min="15354" max="15354" width="5.5546875" style="1" bestFit="1" customWidth="1"/>
    <col min="15355" max="15355" width="4.88671875" style="1" customWidth="1"/>
    <col min="15356" max="15362" width="3.109375" style="1" customWidth="1"/>
    <col min="15363" max="15363" width="4.109375" style="1" customWidth="1"/>
    <col min="15364" max="15364" width="3.109375" style="1" customWidth="1"/>
    <col min="15365" max="15365" width="3.88671875" style="1" customWidth="1"/>
    <col min="15366" max="15367" width="3.109375" style="1" customWidth="1"/>
    <col min="15368" max="15368" width="4.44140625" style="1" bestFit="1" customWidth="1"/>
    <col min="15369" max="15370" width="4.6640625" style="1" bestFit="1" customWidth="1"/>
    <col min="15371" max="15371" width="3.88671875" style="1" customWidth="1"/>
    <col min="15372" max="15375" width="3" style="1" customWidth="1"/>
    <col min="15376" max="15380" width="3.109375" style="1" customWidth="1"/>
    <col min="15381" max="15381" width="4.33203125" style="1" customWidth="1"/>
    <col min="15382" max="15382" width="3.88671875" style="1" customWidth="1"/>
    <col min="15383" max="15383" width="3.77734375" style="1" customWidth="1"/>
    <col min="15384" max="15384" width="3.109375" style="1" customWidth="1"/>
    <col min="15385" max="15607" width="8.88671875" style="1"/>
    <col min="15608" max="15608" width="3.21875" style="1" customWidth="1"/>
    <col min="15609" max="15609" width="9.6640625" style="1" customWidth="1"/>
    <col min="15610" max="15610" width="5.5546875" style="1" bestFit="1" customWidth="1"/>
    <col min="15611" max="15611" width="4.88671875" style="1" customWidth="1"/>
    <col min="15612" max="15618" width="3.109375" style="1" customWidth="1"/>
    <col min="15619" max="15619" width="4.109375" style="1" customWidth="1"/>
    <col min="15620" max="15620" width="3.109375" style="1" customWidth="1"/>
    <col min="15621" max="15621" width="3.88671875" style="1" customWidth="1"/>
    <col min="15622" max="15623" width="3.109375" style="1" customWidth="1"/>
    <col min="15624" max="15624" width="4.44140625" style="1" bestFit="1" customWidth="1"/>
    <col min="15625" max="15626" width="4.6640625" style="1" bestFit="1" customWidth="1"/>
    <col min="15627" max="15627" width="3.88671875" style="1" customWidth="1"/>
    <col min="15628" max="15631" width="3" style="1" customWidth="1"/>
    <col min="15632" max="15636" width="3.109375" style="1" customWidth="1"/>
    <col min="15637" max="15637" width="4.33203125" style="1" customWidth="1"/>
    <col min="15638" max="15638" width="3.88671875" style="1" customWidth="1"/>
    <col min="15639" max="15639" width="3.77734375" style="1" customWidth="1"/>
    <col min="15640" max="15640" width="3.109375" style="1" customWidth="1"/>
    <col min="15641" max="15863" width="8.88671875" style="1"/>
    <col min="15864" max="15864" width="3.21875" style="1" customWidth="1"/>
    <col min="15865" max="15865" width="9.6640625" style="1" customWidth="1"/>
    <col min="15866" max="15866" width="5.5546875" style="1" bestFit="1" customWidth="1"/>
    <col min="15867" max="15867" width="4.88671875" style="1" customWidth="1"/>
    <col min="15868" max="15874" width="3.109375" style="1" customWidth="1"/>
    <col min="15875" max="15875" width="4.109375" style="1" customWidth="1"/>
    <col min="15876" max="15876" width="3.109375" style="1" customWidth="1"/>
    <col min="15877" max="15877" width="3.88671875" style="1" customWidth="1"/>
    <col min="15878" max="15879" width="3.109375" style="1" customWidth="1"/>
    <col min="15880" max="15880" width="4.44140625" style="1" bestFit="1" customWidth="1"/>
    <col min="15881" max="15882" width="4.6640625" style="1" bestFit="1" customWidth="1"/>
    <col min="15883" max="15883" width="3.88671875" style="1" customWidth="1"/>
    <col min="15884" max="15887" width="3" style="1" customWidth="1"/>
    <col min="15888" max="15892" width="3.109375" style="1" customWidth="1"/>
    <col min="15893" max="15893" width="4.33203125" style="1" customWidth="1"/>
    <col min="15894" max="15894" width="3.88671875" style="1" customWidth="1"/>
    <col min="15895" max="15895" width="3.77734375" style="1" customWidth="1"/>
    <col min="15896" max="15896" width="3.109375" style="1" customWidth="1"/>
    <col min="15897" max="16119" width="8.88671875" style="1"/>
    <col min="16120" max="16120" width="3.21875" style="1" customWidth="1"/>
    <col min="16121" max="16121" width="9.6640625" style="1" customWidth="1"/>
    <col min="16122" max="16122" width="5.5546875" style="1" bestFit="1" customWidth="1"/>
    <col min="16123" max="16123" width="4.88671875" style="1" customWidth="1"/>
    <col min="16124" max="16130" width="3.109375" style="1" customWidth="1"/>
    <col min="16131" max="16131" width="4.109375" style="1" customWidth="1"/>
    <col min="16132" max="16132" width="3.109375" style="1" customWidth="1"/>
    <col min="16133" max="16133" width="3.88671875" style="1" customWidth="1"/>
    <col min="16134" max="16135" width="3.109375" style="1" customWidth="1"/>
    <col min="16136" max="16136" width="4.44140625" style="1" bestFit="1" customWidth="1"/>
    <col min="16137" max="16138" width="4.6640625" style="1" bestFit="1" customWidth="1"/>
    <col min="16139" max="16139" width="3.88671875" style="1" customWidth="1"/>
    <col min="16140" max="16143" width="3" style="1" customWidth="1"/>
    <col min="16144" max="16148" width="3.109375" style="1" customWidth="1"/>
    <col min="16149" max="16149" width="4.33203125" style="1" customWidth="1"/>
    <col min="16150" max="16150" width="3.88671875" style="1" customWidth="1"/>
    <col min="16151" max="16151" width="3.77734375" style="1" customWidth="1"/>
    <col min="16152" max="16152" width="3.109375" style="1" customWidth="1"/>
    <col min="16153" max="16384" width="8.88671875" style="1"/>
  </cols>
  <sheetData>
    <row r="1" spans="1:37" ht="12" x14ac:dyDescent="0.15">
      <c r="A1" s="71" t="s">
        <v>54</v>
      </c>
      <c r="B1" s="12"/>
      <c r="C1" s="12"/>
      <c r="D1" s="12"/>
      <c r="E1" s="12"/>
      <c r="F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7" ht="27" x14ac:dyDescent="0.3">
      <c r="A2" s="97" t="s">
        <v>49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</row>
    <row r="3" spans="1:37" ht="5.25" customHeight="1" x14ac:dyDescent="0.3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12"/>
      <c r="AI3" s="12"/>
      <c r="AJ3" s="12"/>
    </row>
    <row r="4" spans="1:37" ht="16.5" customHeight="1" x14ac:dyDescent="0.15">
      <c r="A4" s="72" t="s">
        <v>65</v>
      </c>
      <c r="B4" s="59"/>
      <c r="C4" s="59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73"/>
      <c r="AG4" s="73"/>
      <c r="AH4" s="12"/>
      <c r="AI4" s="12"/>
      <c r="AJ4" s="12"/>
    </row>
    <row r="5" spans="1:37" s="2" customFormat="1" ht="23.25" customHeight="1" x14ac:dyDescent="0.15">
      <c r="A5" s="105" t="s">
        <v>9</v>
      </c>
      <c r="B5" s="106"/>
      <c r="C5" s="111" t="s">
        <v>0</v>
      </c>
      <c r="D5" s="121" t="s">
        <v>33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8" t="s">
        <v>28</v>
      </c>
      <c r="AI5" s="99"/>
      <c r="AJ5" s="100"/>
    </row>
    <row r="6" spans="1:37" s="2" customFormat="1" ht="24" customHeight="1" x14ac:dyDescent="0.15">
      <c r="A6" s="107"/>
      <c r="B6" s="108"/>
      <c r="C6" s="112"/>
      <c r="D6" s="114" t="s">
        <v>1</v>
      </c>
      <c r="E6" s="116" t="s">
        <v>2</v>
      </c>
      <c r="F6" s="60" t="s">
        <v>10</v>
      </c>
      <c r="G6" s="60" t="s">
        <v>11</v>
      </c>
      <c r="H6" s="26" t="s">
        <v>12</v>
      </c>
      <c r="I6" s="103" t="s">
        <v>13</v>
      </c>
      <c r="J6" s="119"/>
      <c r="K6" s="119"/>
      <c r="L6" s="120"/>
      <c r="M6" s="103" t="s">
        <v>14</v>
      </c>
      <c r="N6" s="119"/>
      <c r="O6" s="119"/>
      <c r="P6" s="119"/>
      <c r="Q6" s="119"/>
      <c r="R6" s="119"/>
      <c r="S6" s="120"/>
      <c r="T6" s="103" t="s">
        <v>15</v>
      </c>
      <c r="U6" s="119"/>
      <c r="V6" s="120"/>
      <c r="W6" s="103" t="s">
        <v>16</v>
      </c>
      <c r="X6" s="119"/>
      <c r="Y6" s="119"/>
      <c r="Z6" s="119"/>
      <c r="AA6" s="120"/>
      <c r="AB6" s="122" t="s">
        <v>1</v>
      </c>
      <c r="AC6" s="103" t="s">
        <v>18</v>
      </c>
      <c r="AD6" s="119"/>
      <c r="AE6" s="119"/>
      <c r="AF6" s="119"/>
      <c r="AG6" s="119"/>
      <c r="AH6" s="101" t="s">
        <v>29</v>
      </c>
      <c r="AI6" s="103" t="s">
        <v>30</v>
      </c>
      <c r="AJ6" s="104"/>
    </row>
    <row r="7" spans="1:37" s="2" customFormat="1" ht="157.5" customHeight="1" x14ac:dyDescent="0.15">
      <c r="A7" s="109"/>
      <c r="B7" s="110"/>
      <c r="C7" s="113"/>
      <c r="D7" s="115"/>
      <c r="E7" s="131"/>
      <c r="F7" s="61" t="s">
        <v>58</v>
      </c>
      <c r="G7" s="62" t="s">
        <v>59</v>
      </c>
      <c r="H7" s="132" t="s">
        <v>19</v>
      </c>
      <c r="I7" s="63" t="s">
        <v>47</v>
      </c>
      <c r="J7" s="64" t="s">
        <v>20</v>
      </c>
      <c r="K7" s="65" t="s">
        <v>64</v>
      </c>
      <c r="L7" s="65" t="s">
        <v>52</v>
      </c>
      <c r="M7" s="63" t="s">
        <v>21</v>
      </c>
      <c r="N7" s="64" t="s">
        <v>56</v>
      </c>
      <c r="O7" s="64" t="s">
        <v>48</v>
      </c>
      <c r="P7" s="65" t="s">
        <v>63</v>
      </c>
      <c r="Q7" s="63" t="s">
        <v>50</v>
      </c>
      <c r="R7" s="65" t="s">
        <v>51</v>
      </c>
      <c r="S7" s="65" t="s">
        <v>53</v>
      </c>
      <c r="T7" s="63" t="s">
        <v>22</v>
      </c>
      <c r="U7" s="65" t="s">
        <v>23</v>
      </c>
      <c r="V7" s="65" t="s">
        <v>39</v>
      </c>
      <c r="W7" s="63" t="s">
        <v>24</v>
      </c>
      <c r="X7" s="65" t="s">
        <v>62</v>
      </c>
      <c r="Y7" s="65" t="s">
        <v>26</v>
      </c>
      <c r="Z7" s="65" t="s">
        <v>31</v>
      </c>
      <c r="AA7" s="65" t="s">
        <v>27</v>
      </c>
      <c r="AB7" s="123"/>
      <c r="AC7" s="66" t="s">
        <v>25</v>
      </c>
      <c r="AD7" s="66" t="s">
        <v>7</v>
      </c>
      <c r="AE7" s="66" t="s">
        <v>8</v>
      </c>
      <c r="AF7" s="67" t="s">
        <v>5</v>
      </c>
      <c r="AG7" s="68" t="s">
        <v>6</v>
      </c>
      <c r="AH7" s="102"/>
      <c r="AI7" s="63" t="s">
        <v>24</v>
      </c>
      <c r="AJ7" s="74" t="s">
        <v>32</v>
      </c>
    </row>
    <row r="8" spans="1:37" s="3" customFormat="1" hidden="1" x14ac:dyDescent="0.15">
      <c r="A8" s="124" t="s">
        <v>3</v>
      </c>
      <c r="B8" s="125"/>
      <c r="C8" s="7">
        <f>D8+AB8</f>
        <v>94</v>
      </c>
      <c r="D8" s="8">
        <f>SUM(E8:AA8)</f>
        <v>73</v>
      </c>
      <c r="E8" s="7">
        <v>1</v>
      </c>
      <c r="F8" s="7">
        <v>1</v>
      </c>
      <c r="G8" s="7">
        <v>0</v>
      </c>
      <c r="H8" s="7">
        <v>0</v>
      </c>
      <c r="I8" s="7">
        <v>9</v>
      </c>
      <c r="J8" s="7">
        <v>0</v>
      </c>
      <c r="K8" s="7"/>
      <c r="L8" s="7"/>
      <c r="M8" s="7">
        <v>0</v>
      </c>
      <c r="N8" s="7">
        <v>1</v>
      </c>
      <c r="O8" s="7">
        <v>4</v>
      </c>
      <c r="P8" s="7"/>
      <c r="Q8" s="7"/>
      <c r="R8" s="7">
        <v>4</v>
      </c>
      <c r="S8" s="7"/>
      <c r="T8" s="7">
        <v>10</v>
      </c>
      <c r="U8" s="7">
        <v>1</v>
      </c>
      <c r="V8" s="7"/>
      <c r="W8" s="7">
        <v>26</v>
      </c>
      <c r="X8" s="7"/>
      <c r="Y8" s="7"/>
      <c r="Z8" s="7">
        <v>8</v>
      </c>
      <c r="AA8" s="7">
        <v>8</v>
      </c>
      <c r="AB8" s="8">
        <f>SUM(AC8:AG8)</f>
        <v>21</v>
      </c>
      <c r="AC8" s="7">
        <v>3</v>
      </c>
      <c r="AD8" s="7">
        <v>3</v>
      </c>
      <c r="AE8" s="8">
        <v>4</v>
      </c>
      <c r="AF8" s="7">
        <v>8</v>
      </c>
      <c r="AG8" s="10">
        <v>3</v>
      </c>
      <c r="AH8" s="75"/>
      <c r="AI8" s="76"/>
      <c r="AJ8" s="77"/>
    </row>
    <row r="9" spans="1:37" s="2" customFormat="1" ht="23.25" hidden="1" customHeight="1" x14ac:dyDescent="0.15">
      <c r="A9" s="92"/>
      <c r="B9" s="93"/>
      <c r="C9" s="9">
        <f>C10-C8</f>
        <v>109</v>
      </c>
      <c r="D9" s="9">
        <f t="shared" ref="D9:AG9" si="0">D10-D8</f>
        <v>130</v>
      </c>
      <c r="E9" s="9">
        <f t="shared" si="0"/>
        <v>0</v>
      </c>
      <c r="F9" s="9">
        <f t="shared" si="0"/>
        <v>0</v>
      </c>
      <c r="G9" s="9">
        <f t="shared" si="0"/>
        <v>1</v>
      </c>
      <c r="H9" s="9">
        <f t="shared" si="0"/>
        <v>8</v>
      </c>
      <c r="I9" s="9">
        <f t="shared" si="0"/>
        <v>27</v>
      </c>
      <c r="J9" s="9">
        <f t="shared" si="0"/>
        <v>2</v>
      </c>
      <c r="K9" s="9"/>
      <c r="L9" s="9"/>
      <c r="M9" s="9">
        <f t="shared" ref="M9" si="1">M10-M8</f>
        <v>26</v>
      </c>
      <c r="N9" s="9">
        <f t="shared" si="0"/>
        <v>0</v>
      </c>
      <c r="O9" s="9">
        <f t="shared" si="0"/>
        <v>0</v>
      </c>
      <c r="P9" s="9"/>
      <c r="Q9" s="9"/>
      <c r="R9" s="9">
        <f t="shared" si="0"/>
        <v>-3</v>
      </c>
      <c r="S9" s="9"/>
      <c r="T9" s="9">
        <f t="shared" si="0"/>
        <v>37</v>
      </c>
      <c r="U9" s="9">
        <f t="shared" si="0"/>
        <v>3</v>
      </c>
      <c r="V9" s="9"/>
      <c r="W9" s="9">
        <f t="shared" ref="W9" si="2">W10-W8</f>
        <v>7</v>
      </c>
      <c r="X9" s="9"/>
      <c r="Y9" s="9"/>
      <c r="Z9" s="9">
        <f t="shared" ref="Z9" si="3">Z10-Z8</f>
        <v>-4</v>
      </c>
      <c r="AA9" s="9">
        <f t="shared" si="0"/>
        <v>-8</v>
      </c>
      <c r="AB9" s="9">
        <f t="shared" si="0"/>
        <v>-17</v>
      </c>
      <c r="AC9" s="9">
        <f t="shared" si="0"/>
        <v>-3</v>
      </c>
      <c r="AD9" s="9">
        <f t="shared" si="0"/>
        <v>-3</v>
      </c>
      <c r="AE9" s="9">
        <f t="shared" si="0"/>
        <v>-4</v>
      </c>
      <c r="AF9" s="9">
        <f t="shared" si="0"/>
        <v>-6</v>
      </c>
      <c r="AG9" s="11">
        <f t="shared" si="0"/>
        <v>-1</v>
      </c>
      <c r="AH9" s="78"/>
      <c r="AI9" s="79"/>
      <c r="AJ9" s="80"/>
    </row>
    <row r="10" spans="1:37" s="4" customFormat="1" ht="23.25" customHeight="1" x14ac:dyDescent="0.15">
      <c r="A10" s="124" t="s">
        <v>3</v>
      </c>
      <c r="B10" s="125"/>
      <c r="C10" s="7">
        <f t="shared" ref="C10:AJ10" si="4">C11+C15</f>
        <v>203</v>
      </c>
      <c r="D10" s="8">
        <f t="shared" si="4"/>
        <v>203</v>
      </c>
      <c r="E10" s="7">
        <f t="shared" si="4"/>
        <v>1</v>
      </c>
      <c r="F10" s="7">
        <f t="shared" si="4"/>
        <v>1</v>
      </c>
      <c r="G10" s="7">
        <f t="shared" si="4"/>
        <v>1</v>
      </c>
      <c r="H10" s="7">
        <f t="shared" si="4"/>
        <v>8</v>
      </c>
      <c r="I10" s="7">
        <f t="shared" si="4"/>
        <v>36</v>
      </c>
      <c r="J10" s="7">
        <f t="shared" si="4"/>
        <v>2</v>
      </c>
      <c r="K10" s="7">
        <f t="shared" si="4"/>
        <v>8</v>
      </c>
      <c r="L10" s="7">
        <f t="shared" si="4"/>
        <v>1</v>
      </c>
      <c r="M10" s="7">
        <f t="shared" si="4"/>
        <v>26</v>
      </c>
      <c r="N10" s="7">
        <f t="shared" si="4"/>
        <v>1</v>
      </c>
      <c r="O10" s="7">
        <f t="shared" si="4"/>
        <v>4</v>
      </c>
      <c r="P10" s="7"/>
      <c r="Q10" s="7">
        <f t="shared" si="4"/>
        <v>1</v>
      </c>
      <c r="R10" s="7">
        <f t="shared" si="4"/>
        <v>1</v>
      </c>
      <c r="S10" s="7">
        <f t="shared" si="4"/>
        <v>1</v>
      </c>
      <c r="T10" s="7">
        <f t="shared" si="4"/>
        <v>47</v>
      </c>
      <c r="U10" s="7">
        <f t="shared" si="4"/>
        <v>4</v>
      </c>
      <c r="V10" s="7">
        <f t="shared" si="4"/>
        <v>2</v>
      </c>
      <c r="W10" s="7">
        <f t="shared" si="4"/>
        <v>33</v>
      </c>
      <c r="X10" s="7"/>
      <c r="Y10" s="7">
        <f t="shared" si="4"/>
        <v>1</v>
      </c>
      <c r="Z10" s="7">
        <f t="shared" si="4"/>
        <v>4</v>
      </c>
      <c r="AA10" s="7">
        <f t="shared" si="4"/>
        <v>0</v>
      </c>
      <c r="AB10" s="7">
        <f t="shared" si="4"/>
        <v>4</v>
      </c>
      <c r="AC10" s="7">
        <f t="shared" si="4"/>
        <v>0</v>
      </c>
      <c r="AD10" s="7">
        <f t="shared" si="4"/>
        <v>0</v>
      </c>
      <c r="AE10" s="7">
        <f t="shared" si="4"/>
        <v>0</v>
      </c>
      <c r="AF10" s="7">
        <f t="shared" si="4"/>
        <v>2</v>
      </c>
      <c r="AG10" s="10">
        <f t="shared" si="4"/>
        <v>2</v>
      </c>
      <c r="AH10" s="81">
        <f t="shared" si="4"/>
        <v>0</v>
      </c>
      <c r="AI10" s="82">
        <f t="shared" si="4"/>
        <v>0</v>
      </c>
      <c r="AJ10" s="83">
        <f t="shared" si="4"/>
        <v>0</v>
      </c>
    </row>
    <row r="11" spans="1:37" s="6" customFormat="1" ht="23.25" customHeight="1" x14ac:dyDescent="0.15">
      <c r="A11" s="126" t="s">
        <v>38</v>
      </c>
      <c r="B11" s="15" t="s">
        <v>34</v>
      </c>
      <c r="C11" s="33">
        <f>SUM(C12:C14)</f>
        <v>48</v>
      </c>
      <c r="D11" s="33">
        <f>SUM(D12:D14)</f>
        <v>48</v>
      </c>
      <c r="E11" s="33">
        <f>SUM(E12:E14)</f>
        <v>1</v>
      </c>
      <c r="F11" s="33">
        <f t="shared" ref="F11:AA11" si="5">SUM(F12:F14)</f>
        <v>0</v>
      </c>
      <c r="G11" s="33">
        <f t="shared" si="5"/>
        <v>1</v>
      </c>
      <c r="H11" s="33">
        <f t="shared" si="5"/>
        <v>2</v>
      </c>
      <c r="I11" s="33">
        <f t="shared" si="5"/>
        <v>7</v>
      </c>
      <c r="J11" s="33">
        <f t="shared" si="5"/>
        <v>2</v>
      </c>
      <c r="K11" s="33">
        <f t="shared" ref="K11" si="6">SUM(K12:K14)</f>
        <v>1</v>
      </c>
      <c r="L11" s="33">
        <f t="shared" si="5"/>
        <v>1</v>
      </c>
      <c r="M11" s="33">
        <f t="shared" si="5"/>
        <v>8</v>
      </c>
      <c r="N11" s="33">
        <f t="shared" si="5"/>
        <v>1</v>
      </c>
      <c r="O11" s="33">
        <f t="shared" si="5"/>
        <v>0</v>
      </c>
      <c r="P11" s="33"/>
      <c r="Q11" s="33">
        <f t="shared" si="5"/>
        <v>1</v>
      </c>
      <c r="R11" s="33">
        <f t="shared" si="5"/>
        <v>1</v>
      </c>
      <c r="S11" s="33">
        <f t="shared" si="5"/>
        <v>0</v>
      </c>
      <c r="T11" s="33">
        <f t="shared" si="5"/>
        <v>15</v>
      </c>
      <c r="U11" s="33">
        <f t="shared" si="5"/>
        <v>0</v>
      </c>
      <c r="V11" s="33">
        <f t="shared" si="5"/>
        <v>0</v>
      </c>
      <c r="W11" s="33">
        <f t="shared" si="5"/>
        <v>2</v>
      </c>
      <c r="X11" s="33"/>
      <c r="Y11" s="33">
        <f t="shared" si="5"/>
        <v>1</v>
      </c>
      <c r="Z11" s="33">
        <f t="shared" si="5"/>
        <v>0</v>
      </c>
      <c r="AA11" s="33">
        <f t="shared" si="5"/>
        <v>0</v>
      </c>
      <c r="AB11" s="33">
        <f>SUM(AB12:AB14)</f>
        <v>2</v>
      </c>
      <c r="AC11" s="33">
        <f>SUM(AC12:AC14)</f>
        <v>0</v>
      </c>
      <c r="AD11" s="33">
        <f t="shared" ref="AD11:AF11" si="7">SUM(AD12:AD14)</f>
        <v>0</v>
      </c>
      <c r="AE11" s="33">
        <f t="shared" si="7"/>
        <v>0</v>
      </c>
      <c r="AF11" s="33">
        <f t="shared" si="7"/>
        <v>0</v>
      </c>
      <c r="AG11" s="69">
        <f>SUM(AG12:AG14)</f>
        <v>2</v>
      </c>
      <c r="AH11" s="84">
        <f t="shared" ref="AH11:AJ11" si="8">SUM(AH12:AH14)</f>
        <v>0</v>
      </c>
      <c r="AI11" s="85">
        <f t="shared" si="8"/>
        <v>0</v>
      </c>
      <c r="AJ11" s="86">
        <f t="shared" si="8"/>
        <v>0</v>
      </c>
    </row>
    <row r="12" spans="1:37" s="6" customFormat="1" ht="23.25" customHeight="1" x14ac:dyDescent="0.15">
      <c r="A12" s="127"/>
      <c r="B12" s="16" t="s">
        <v>61</v>
      </c>
      <c r="C12" s="21">
        <f>SUM(D12,AH12)</f>
        <v>17</v>
      </c>
      <c r="D12" s="22">
        <f>SUM(E12:AB12)</f>
        <v>17</v>
      </c>
      <c r="E12" s="23">
        <v>1</v>
      </c>
      <c r="F12" s="23"/>
      <c r="G12" s="23"/>
      <c r="H12" s="23">
        <v>1</v>
      </c>
      <c r="I12" s="23">
        <v>2</v>
      </c>
      <c r="J12" s="23">
        <v>1</v>
      </c>
      <c r="K12" s="23"/>
      <c r="L12" s="23">
        <v>1</v>
      </c>
      <c r="M12" s="23">
        <v>3</v>
      </c>
      <c r="N12" s="23"/>
      <c r="O12" s="23"/>
      <c r="P12" s="23"/>
      <c r="Q12" s="23">
        <v>1</v>
      </c>
      <c r="R12" s="23">
        <v>1</v>
      </c>
      <c r="S12" s="23"/>
      <c r="T12" s="23">
        <v>4</v>
      </c>
      <c r="U12" s="23"/>
      <c r="V12" s="23"/>
      <c r="W12" s="23">
        <v>1</v>
      </c>
      <c r="X12" s="23"/>
      <c r="Y12" s="24"/>
      <c r="Z12" s="23">
        <v>0</v>
      </c>
      <c r="AA12" s="23"/>
      <c r="AB12" s="22">
        <f>SUM(AC12:AG12)</f>
        <v>1</v>
      </c>
      <c r="AC12" s="23"/>
      <c r="AD12" s="23"/>
      <c r="AE12" s="23"/>
      <c r="AF12" s="25"/>
      <c r="AG12" s="26">
        <v>1</v>
      </c>
      <c r="AH12" s="35">
        <f>SUM(AI12:AJ12)</f>
        <v>0</v>
      </c>
      <c r="AI12" s="23">
        <v>0</v>
      </c>
      <c r="AJ12" s="36"/>
      <c r="AK12" s="5"/>
    </row>
    <row r="13" spans="1:37" s="6" customFormat="1" ht="23.25" customHeight="1" x14ac:dyDescent="0.15">
      <c r="A13" s="128"/>
      <c r="B13" s="16" t="s">
        <v>60</v>
      </c>
      <c r="C13" s="21">
        <f>SUM(D13,AH13)</f>
        <v>14</v>
      </c>
      <c r="D13" s="22">
        <f>SUM(E13:AB13)</f>
        <v>14</v>
      </c>
      <c r="E13" s="23"/>
      <c r="F13" s="23"/>
      <c r="G13" s="23"/>
      <c r="H13" s="23">
        <v>1</v>
      </c>
      <c r="I13" s="23">
        <v>1</v>
      </c>
      <c r="J13" s="23">
        <v>1</v>
      </c>
      <c r="K13" s="23">
        <v>1</v>
      </c>
      <c r="L13" s="23"/>
      <c r="M13" s="23">
        <v>1</v>
      </c>
      <c r="N13" s="23">
        <v>1</v>
      </c>
      <c r="O13" s="23"/>
      <c r="P13" s="20">
        <v>1</v>
      </c>
      <c r="Q13" s="23"/>
      <c r="R13" s="23"/>
      <c r="S13" s="34">
        <v>0</v>
      </c>
      <c r="T13" s="23">
        <v>4</v>
      </c>
      <c r="U13" s="23"/>
      <c r="V13" s="34"/>
      <c r="W13" s="23"/>
      <c r="X13" s="20">
        <v>1</v>
      </c>
      <c r="Y13" s="24">
        <v>1</v>
      </c>
      <c r="Z13" s="23"/>
      <c r="AA13" s="23"/>
      <c r="AB13" s="22">
        <f>SUM(AC13:AG13)</f>
        <v>1</v>
      </c>
      <c r="AC13" s="23"/>
      <c r="AD13" s="23"/>
      <c r="AE13" s="23"/>
      <c r="AF13" s="25"/>
      <c r="AG13" s="26">
        <v>1</v>
      </c>
      <c r="AH13" s="35">
        <f t="shared" ref="AH13:AH14" si="9">SUM(AI13:AJ13)</f>
        <v>0</v>
      </c>
      <c r="AI13" s="37"/>
      <c r="AJ13" s="38"/>
      <c r="AK13" s="5"/>
    </row>
    <row r="14" spans="1:37" s="6" customFormat="1" ht="23.25" customHeight="1" x14ac:dyDescent="0.15">
      <c r="A14" s="128"/>
      <c r="B14" s="17" t="s">
        <v>41</v>
      </c>
      <c r="C14" s="27">
        <f>SUM(D14,AH14)</f>
        <v>17</v>
      </c>
      <c r="D14" s="28">
        <f>SUM(E14:AB14)</f>
        <v>17</v>
      </c>
      <c r="E14" s="29"/>
      <c r="F14" s="29"/>
      <c r="G14" s="29">
        <v>1</v>
      </c>
      <c r="H14" s="29"/>
      <c r="I14" s="29">
        <v>4</v>
      </c>
      <c r="J14" s="29"/>
      <c r="K14" s="29"/>
      <c r="L14" s="29"/>
      <c r="M14" s="29">
        <v>4</v>
      </c>
      <c r="N14" s="29"/>
      <c r="O14" s="29"/>
      <c r="P14" s="29"/>
      <c r="Q14" s="29"/>
      <c r="R14" s="29"/>
      <c r="S14" s="29"/>
      <c r="T14" s="29">
        <v>7</v>
      </c>
      <c r="U14" s="29"/>
      <c r="V14" s="29"/>
      <c r="W14" s="29">
        <v>1</v>
      </c>
      <c r="X14" s="29"/>
      <c r="Y14" s="29"/>
      <c r="Z14" s="29"/>
      <c r="AA14" s="29"/>
      <c r="AB14" s="22">
        <f>SUM(AC14:AG14)</f>
        <v>0</v>
      </c>
      <c r="AC14" s="29"/>
      <c r="AD14" s="29"/>
      <c r="AE14" s="30"/>
      <c r="AF14" s="31"/>
      <c r="AG14" s="32"/>
      <c r="AH14" s="39">
        <f t="shared" si="9"/>
        <v>0</v>
      </c>
      <c r="AI14" s="40"/>
      <c r="AJ14" s="41"/>
      <c r="AK14" s="5"/>
    </row>
    <row r="15" spans="1:37" s="6" customFormat="1" ht="23.25" customHeight="1" x14ac:dyDescent="0.15">
      <c r="A15" s="129" t="s">
        <v>35</v>
      </c>
      <c r="B15" s="18" t="s">
        <v>34</v>
      </c>
      <c r="C15" s="70">
        <f>SUM(C16:C22)</f>
        <v>155</v>
      </c>
      <c r="D15" s="43">
        <f>SUM(D16:D22)</f>
        <v>155</v>
      </c>
      <c r="E15" s="42">
        <f>SUM(E16:E22)</f>
        <v>0</v>
      </c>
      <c r="F15" s="42">
        <f t="shared" ref="F15:Z15" si="10">SUM(F16:F22)</f>
        <v>1</v>
      </c>
      <c r="G15" s="42">
        <f t="shared" si="10"/>
        <v>0</v>
      </c>
      <c r="H15" s="42">
        <f t="shared" si="10"/>
        <v>6</v>
      </c>
      <c r="I15" s="42">
        <f t="shared" si="10"/>
        <v>29</v>
      </c>
      <c r="J15" s="42">
        <f t="shared" si="10"/>
        <v>0</v>
      </c>
      <c r="K15" s="42">
        <f t="shared" ref="K15" si="11">K16+K17+K18+K19+K20+K21+K22</f>
        <v>7</v>
      </c>
      <c r="L15" s="42">
        <f t="shared" si="10"/>
        <v>0</v>
      </c>
      <c r="M15" s="42">
        <f t="shared" si="10"/>
        <v>18</v>
      </c>
      <c r="N15" s="42">
        <f t="shared" si="10"/>
        <v>0</v>
      </c>
      <c r="O15" s="42">
        <f t="shared" si="10"/>
        <v>4</v>
      </c>
      <c r="P15" s="42">
        <f t="shared" ref="P15" si="12">P16+P17+P18+P19+P20+P21+P22</f>
        <v>7</v>
      </c>
      <c r="Q15" s="42">
        <f t="shared" si="10"/>
        <v>0</v>
      </c>
      <c r="R15" s="42">
        <f t="shared" si="10"/>
        <v>0</v>
      </c>
      <c r="S15" s="42">
        <f t="shared" si="10"/>
        <v>1</v>
      </c>
      <c r="T15" s="42">
        <f t="shared" si="10"/>
        <v>32</v>
      </c>
      <c r="U15" s="42">
        <f t="shared" si="10"/>
        <v>4</v>
      </c>
      <c r="V15" s="42">
        <f t="shared" si="10"/>
        <v>2</v>
      </c>
      <c r="W15" s="42">
        <f t="shared" si="10"/>
        <v>31</v>
      </c>
      <c r="X15" s="42">
        <f t="shared" ref="X15" si="13">X16+X17+X18+X19+X20+X21+X22</f>
        <v>7</v>
      </c>
      <c r="Y15" s="42">
        <f t="shared" si="10"/>
        <v>0</v>
      </c>
      <c r="Z15" s="42">
        <f t="shared" si="10"/>
        <v>4</v>
      </c>
      <c r="AA15" s="42">
        <f>SUM(AA16:AA22)</f>
        <v>0</v>
      </c>
      <c r="AB15" s="56">
        <f>AB16+AB17+AB18+AB19+AB20+AB21+AB22</f>
        <v>2</v>
      </c>
      <c r="AC15" s="42">
        <f t="shared" ref="AC15" si="14">AC16+AC17+AC18+AC19+AC20+AC21+AC22</f>
        <v>0</v>
      </c>
      <c r="AD15" s="42">
        <f t="shared" ref="AD15" si="15">AD16+AD17+AD18+AD19+AD20+AD21+AD22</f>
        <v>0</v>
      </c>
      <c r="AE15" s="42">
        <f t="shared" ref="AE15" si="16">AE16+AE17+AE18+AE19+AE20+AE21+AE22</f>
        <v>0</v>
      </c>
      <c r="AF15" s="42">
        <f t="shared" ref="AF15" si="17">AF16+AF17+AF18+AF19+AF20+AF21+AF22</f>
        <v>2</v>
      </c>
      <c r="AG15" s="57">
        <f t="shared" ref="AG15" si="18">AG16+AG17+AG18+AG19+AG20+AG21+AG22</f>
        <v>0</v>
      </c>
      <c r="AH15" s="58">
        <f>AH16+AH17+AH18+AH19+AH20+AH21+AH22</f>
        <v>0</v>
      </c>
      <c r="AI15" s="42">
        <f t="shared" ref="AI15:AJ15" si="19">AI16+AI17+AI18+AI19+AI20+AI21+AI22</f>
        <v>0</v>
      </c>
      <c r="AJ15" s="42">
        <f t="shared" si="19"/>
        <v>0</v>
      </c>
      <c r="AK15" s="5"/>
    </row>
    <row r="16" spans="1:37" s="6" customFormat="1" ht="23.25" customHeight="1" x14ac:dyDescent="0.15">
      <c r="A16" s="127"/>
      <c r="B16" s="16" t="s">
        <v>43</v>
      </c>
      <c r="C16" s="21">
        <f t="shared" ref="C16" si="20">SUM(D16,AH16)</f>
        <v>26</v>
      </c>
      <c r="D16" s="22">
        <f t="shared" ref="D16" si="21">SUM(E16:AB16)</f>
        <v>26</v>
      </c>
      <c r="E16" s="23"/>
      <c r="F16" s="23">
        <v>1</v>
      </c>
      <c r="G16" s="23"/>
      <c r="H16" s="23"/>
      <c r="I16" s="23">
        <v>5</v>
      </c>
      <c r="J16" s="23"/>
      <c r="K16" s="23">
        <v>1</v>
      </c>
      <c r="L16" s="23"/>
      <c r="M16" s="23">
        <v>3</v>
      </c>
      <c r="N16" s="23"/>
      <c r="O16" s="23">
        <v>1</v>
      </c>
      <c r="P16" s="23">
        <v>1</v>
      </c>
      <c r="Q16" s="23"/>
      <c r="R16" s="23"/>
      <c r="S16" s="34">
        <v>1</v>
      </c>
      <c r="T16" s="23">
        <v>4</v>
      </c>
      <c r="U16" s="23">
        <v>1</v>
      </c>
      <c r="V16" s="23"/>
      <c r="W16" s="23">
        <v>6</v>
      </c>
      <c r="X16" s="23">
        <v>1</v>
      </c>
      <c r="Y16" s="34">
        <v>0</v>
      </c>
      <c r="Z16" s="23"/>
      <c r="AA16" s="23"/>
      <c r="AB16" s="22">
        <f t="shared" ref="AB16" si="22">SUM(AC16:AG16)</f>
        <v>1</v>
      </c>
      <c r="AC16" s="23"/>
      <c r="AD16" s="23"/>
      <c r="AE16" s="23"/>
      <c r="AF16" s="25">
        <v>1</v>
      </c>
      <c r="AG16" s="26"/>
      <c r="AH16" s="35">
        <f t="shared" ref="AH16" si="23">SUM(AI16:AJ16)</f>
        <v>0</v>
      </c>
      <c r="AI16" s="45"/>
      <c r="AJ16" s="38"/>
      <c r="AK16" s="5"/>
    </row>
    <row r="17" spans="1:37" s="6" customFormat="1" ht="23.25" customHeight="1" x14ac:dyDescent="0.15">
      <c r="A17" s="128"/>
      <c r="B17" s="16" t="s">
        <v>36</v>
      </c>
      <c r="C17" s="21">
        <f t="shared" ref="C17:C22" si="24">SUM(D17,AH17)</f>
        <v>22</v>
      </c>
      <c r="D17" s="22">
        <f t="shared" ref="D17:D22" si="25">SUM(E17:AB17)</f>
        <v>22</v>
      </c>
      <c r="E17" s="23"/>
      <c r="F17" s="23"/>
      <c r="G17" s="23"/>
      <c r="H17" s="23">
        <v>1</v>
      </c>
      <c r="I17" s="23">
        <v>4</v>
      </c>
      <c r="J17" s="23"/>
      <c r="K17" s="23">
        <v>1</v>
      </c>
      <c r="L17" s="23"/>
      <c r="M17" s="23">
        <v>2</v>
      </c>
      <c r="N17" s="23"/>
      <c r="O17" s="23">
        <v>1</v>
      </c>
      <c r="P17" s="23">
        <v>1</v>
      </c>
      <c r="Q17" s="23"/>
      <c r="R17" s="23"/>
      <c r="S17" s="23"/>
      <c r="T17" s="23">
        <v>3</v>
      </c>
      <c r="U17" s="23">
        <v>1</v>
      </c>
      <c r="V17" s="23">
        <v>1</v>
      </c>
      <c r="W17" s="23">
        <v>5</v>
      </c>
      <c r="X17" s="23">
        <v>1</v>
      </c>
      <c r="Y17" s="23">
        <v>0</v>
      </c>
      <c r="Z17" s="23">
        <v>1</v>
      </c>
      <c r="AA17" s="23"/>
      <c r="AB17" s="22">
        <f t="shared" ref="AB17:AB22" si="26">SUM(AC17:AG17)</f>
        <v>0</v>
      </c>
      <c r="AC17" s="23"/>
      <c r="AD17" s="23">
        <v>0</v>
      </c>
      <c r="AE17" s="23"/>
      <c r="AF17" s="25"/>
      <c r="AG17" s="26"/>
      <c r="AH17" s="35">
        <f t="shared" ref="AH17:AH22" si="27">SUM(AI17:AJ17)</f>
        <v>0</v>
      </c>
      <c r="AI17" s="45"/>
      <c r="AJ17" s="38">
        <v>0</v>
      </c>
      <c r="AK17" s="5"/>
    </row>
    <row r="18" spans="1:37" s="6" customFormat="1" ht="23.25" customHeight="1" x14ac:dyDescent="0.15">
      <c r="A18" s="128"/>
      <c r="B18" s="16" t="s">
        <v>42</v>
      </c>
      <c r="C18" s="21">
        <f t="shared" si="24"/>
        <v>23</v>
      </c>
      <c r="D18" s="22">
        <f t="shared" si="25"/>
        <v>23</v>
      </c>
      <c r="E18" s="23"/>
      <c r="F18" s="23"/>
      <c r="G18" s="23"/>
      <c r="H18" s="23">
        <v>1</v>
      </c>
      <c r="I18" s="23">
        <v>4</v>
      </c>
      <c r="J18" s="23"/>
      <c r="K18" s="23">
        <v>1</v>
      </c>
      <c r="L18" s="23"/>
      <c r="M18" s="23">
        <v>3</v>
      </c>
      <c r="N18" s="23"/>
      <c r="O18" s="23"/>
      <c r="P18" s="23">
        <v>1</v>
      </c>
      <c r="Q18" s="23"/>
      <c r="R18" s="23"/>
      <c r="S18" s="23"/>
      <c r="T18" s="23">
        <v>5</v>
      </c>
      <c r="U18" s="23"/>
      <c r="V18" s="23">
        <v>1</v>
      </c>
      <c r="W18" s="23">
        <v>5</v>
      </c>
      <c r="X18" s="23">
        <v>1</v>
      </c>
      <c r="Y18" s="23"/>
      <c r="Z18" s="23">
        <v>1</v>
      </c>
      <c r="AA18" s="23"/>
      <c r="AB18" s="22">
        <f t="shared" si="26"/>
        <v>0</v>
      </c>
      <c r="AC18" s="23"/>
      <c r="AD18" s="23"/>
      <c r="AE18" s="23"/>
      <c r="AF18" s="25"/>
      <c r="AG18" s="26"/>
      <c r="AH18" s="35">
        <f t="shared" si="27"/>
        <v>0</v>
      </c>
      <c r="AI18" s="45"/>
      <c r="AJ18" s="38"/>
      <c r="AK18" s="5"/>
    </row>
    <row r="19" spans="1:37" s="6" customFormat="1" ht="23.25" customHeight="1" x14ac:dyDescent="0.15">
      <c r="A19" s="128"/>
      <c r="B19" s="16" t="s">
        <v>44</v>
      </c>
      <c r="C19" s="21">
        <f t="shared" si="24"/>
        <v>19</v>
      </c>
      <c r="D19" s="22">
        <f t="shared" si="25"/>
        <v>19</v>
      </c>
      <c r="E19" s="23"/>
      <c r="F19" s="23"/>
      <c r="G19" s="23"/>
      <c r="H19" s="23">
        <v>1</v>
      </c>
      <c r="I19" s="23">
        <v>4</v>
      </c>
      <c r="J19" s="23"/>
      <c r="K19" s="23">
        <v>1</v>
      </c>
      <c r="L19" s="23"/>
      <c r="M19" s="23">
        <v>3</v>
      </c>
      <c r="N19" s="23"/>
      <c r="O19" s="23"/>
      <c r="P19" s="23">
        <v>1</v>
      </c>
      <c r="Q19" s="23"/>
      <c r="R19" s="23"/>
      <c r="S19" s="23"/>
      <c r="T19" s="23">
        <v>5</v>
      </c>
      <c r="U19" s="23"/>
      <c r="V19" s="23"/>
      <c r="W19" s="23">
        <v>3</v>
      </c>
      <c r="X19" s="23">
        <v>1</v>
      </c>
      <c r="Y19" s="23">
        <v>0</v>
      </c>
      <c r="Z19" s="23">
        <v>0</v>
      </c>
      <c r="AA19" s="23"/>
      <c r="AB19" s="22">
        <f t="shared" si="26"/>
        <v>0</v>
      </c>
      <c r="AC19" s="23"/>
      <c r="AD19" s="23"/>
      <c r="AE19" s="23"/>
      <c r="AF19" s="25"/>
      <c r="AG19" s="26"/>
      <c r="AH19" s="35">
        <f t="shared" si="27"/>
        <v>0</v>
      </c>
      <c r="AI19" s="45"/>
      <c r="AJ19" s="38">
        <v>0</v>
      </c>
      <c r="AK19" s="5"/>
    </row>
    <row r="20" spans="1:37" s="6" customFormat="1" ht="23.25" customHeight="1" x14ac:dyDescent="0.15">
      <c r="A20" s="128"/>
      <c r="B20" s="16" t="s">
        <v>45</v>
      </c>
      <c r="C20" s="87">
        <f t="shared" si="24"/>
        <v>24</v>
      </c>
      <c r="D20" s="22">
        <f t="shared" si="25"/>
        <v>24</v>
      </c>
      <c r="E20" s="23"/>
      <c r="F20" s="23"/>
      <c r="G20" s="23"/>
      <c r="H20" s="23">
        <v>1</v>
      </c>
      <c r="I20" s="23">
        <v>4</v>
      </c>
      <c r="J20" s="23"/>
      <c r="K20" s="23">
        <v>1</v>
      </c>
      <c r="L20" s="23"/>
      <c r="M20" s="23">
        <v>2</v>
      </c>
      <c r="N20" s="23"/>
      <c r="O20" s="23">
        <v>1</v>
      </c>
      <c r="P20" s="23">
        <v>1</v>
      </c>
      <c r="Q20" s="23"/>
      <c r="R20" s="23"/>
      <c r="S20" s="23"/>
      <c r="T20" s="23">
        <v>7</v>
      </c>
      <c r="U20" s="23">
        <v>1</v>
      </c>
      <c r="V20" s="23"/>
      <c r="W20" s="23">
        <v>4</v>
      </c>
      <c r="X20" s="23">
        <v>1</v>
      </c>
      <c r="Y20" s="23"/>
      <c r="Z20" s="23">
        <v>1</v>
      </c>
      <c r="AA20" s="23"/>
      <c r="AB20" s="22">
        <f t="shared" si="26"/>
        <v>0</v>
      </c>
      <c r="AC20" s="23"/>
      <c r="AD20" s="23"/>
      <c r="AE20" s="23"/>
      <c r="AF20" s="25"/>
      <c r="AG20" s="26"/>
      <c r="AH20" s="35">
        <f t="shared" si="27"/>
        <v>0</v>
      </c>
      <c r="AI20" s="26"/>
      <c r="AJ20" s="36"/>
      <c r="AK20" s="5"/>
    </row>
    <row r="21" spans="1:37" s="6" customFormat="1" ht="23.25" customHeight="1" x14ac:dyDescent="0.15">
      <c r="A21" s="128"/>
      <c r="B21" s="19" t="s">
        <v>37</v>
      </c>
      <c r="C21" s="88">
        <f t="shared" si="24"/>
        <v>22</v>
      </c>
      <c r="D21" s="22">
        <f t="shared" si="25"/>
        <v>22</v>
      </c>
      <c r="E21" s="47"/>
      <c r="F21" s="47"/>
      <c r="G21" s="47"/>
      <c r="H21" s="47">
        <v>1</v>
      </c>
      <c r="I21" s="47">
        <v>4</v>
      </c>
      <c r="J21" s="47"/>
      <c r="K21" s="47">
        <v>1</v>
      </c>
      <c r="L21" s="47"/>
      <c r="M21" s="47">
        <v>2</v>
      </c>
      <c r="N21" s="47"/>
      <c r="O21" s="47">
        <v>1</v>
      </c>
      <c r="P21" s="47">
        <v>1</v>
      </c>
      <c r="Q21" s="47"/>
      <c r="R21" s="47"/>
      <c r="S21" s="47"/>
      <c r="T21" s="47">
        <v>4</v>
      </c>
      <c r="U21" s="47">
        <v>1</v>
      </c>
      <c r="V21" s="47"/>
      <c r="W21" s="47">
        <v>4</v>
      </c>
      <c r="X21" s="47">
        <v>1</v>
      </c>
      <c r="Y21" s="47"/>
      <c r="Z21" s="47">
        <v>1</v>
      </c>
      <c r="AA21" s="47"/>
      <c r="AB21" s="22">
        <f t="shared" si="26"/>
        <v>1</v>
      </c>
      <c r="AC21" s="47"/>
      <c r="AD21" s="47"/>
      <c r="AE21" s="48"/>
      <c r="AF21" s="49">
        <v>1</v>
      </c>
      <c r="AG21" s="89">
        <v>0</v>
      </c>
      <c r="AH21" s="35">
        <f t="shared" si="27"/>
        <v>0</v>
      </c>
      <c r="AI21" s="26"/>
      <c r="AJ21" s="36"/>
    </row>
    <row r="22" spans="1:37" s="6" customFormat="1" ht="23.25" customHeight="1" x14ac:dyDescent="0.15">
      <c r="A22" s="130"/>
      <c r="B22" s="90" t="s">
        <v>46</v>
      </c>
      <c r="C22" s="91">
        <f t="shared" si="24"/>
        <v>19</v>
      </c>
      <c r="D22" s="51">
        <f t="shared" si="25"/>
        <v>19</v>
      </c>
      <c r="E22" s="50"/>
      <c r="F22" s="50"/>
      <c r="G22" s="50"/>
      <c r="H22" s="50">
        <v>1</v>
      </c>
      <c r="I22" s="50">
        <v>4</v>
      </c>
      <c r="J22" s="50"/>
      <c r="K22" s="50">
        <v>1</v>
      </c>
      <c r="L22" s="50"/>
      <c r="M22" s="50">
        <v>3</v>
      </c>
      <c r="N22" s="50"/>
      <c r="O22" s="50"/>
      <c r="P22" s="50">
        <v>1</v>
      </c>
      <c r="Q22" s="50"/>
      <c r="R22" s="50"/>
      <c r="S22" s="50"/>
      <c r="T22" s="50">
        <v>4</v>
      </c>
      <c r="U22" s="50"/>
      <c r="V22" s="50"/>
      <c r="W22" s="50">
        <v>4</v>
      </c>
      <c r="X22" s="50">
        <v>1</v>
      </c>
      <c r="Y22" s="50">
        <v>0</v>
      </c>
      <c r="Z22" s="50">
        <v>0</v>
      </c>
      <c r="AA22" s="50"/>
      <c r="AB22" s="51">
        <f t="shared" si="26"/>
        <v>0</v>
      </c>
      <c r="AC22" s="50"/>
      <c r="AD22" s="50"/>
      <c r="AE22" s="50"/>
      <c r="AF22" s="52"/>
      <c r="AG22" s="53"/>
      <c r="AH22" s="54">
        <f t="shared" si="27"/>
        <v>0</v>
      </c>
      <c r="AI22" s="53"/>
      <c r="AJ22" s="55"/>
    </row>
  </sheetData>
  <mergeCells count="19">
    <mergeCell ref="AC6:AG6"/>
    <mergeCell ref="AH6:AH7"/>
    <mergeCell ref="AI6:AJ6"/>
    <mergeCell ref="A8:B8"/>
    <mergeCell ref="A2:AJ2"/>
    <mergeCell ref="A5:B7"/>
    <mergeCell ref="C5:C7"/>
    <mergeCell ref="D5:AG5"/>
    <mergeCell ref="AH5:AJ5"/>
    <mergeCell ref="D6:D7"/>
    <mergeCell ref="E6:E7"/>
    <mergeCell ref="I6:L6"/>
    <mergeCell ref="M6:S6"/>
    <mergeCell ref="T6:V6"/>
    <mergeCell ref="A10:B10"/>
    <mergeCell ref="A11:A14"/>
    <mergeCell ref="A15:A22"/>
    <mergeCell ref="W6:AA6"/>
    <mergeCell ref="AB6:AB7"/>
  </mergeCells>
  <phoneticPr fontId="3" type="noConversion"/>
  <pageMargins left="0.51" right="0.46" top="0.59055118110236227" bottom="0.59055118110236227" header="0.11811023622047245" footer="0.11811023622047245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동부 기준정원표</vt:lpstr>
      <vt:lpstr>동부 운영정원표</vt:lpstr>
      <vt:lpstr>'동부 기준정원표'!Print_Area</vt:lpstr>
      <vt:lpstr>'동부 운영정원표'!Print_Area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2023-08-30T00:40:59Z</cp:lastPrinted>
  <dcterms:created xsi:type="dcterms:W3CDTF">2013-09-27T01:03:42Z</dcterms:created>
  <dcterms:modified xsi:type="dcterms:W3CDTF">2026-01-29T22:57:51Z</dcterms:modified>
</cp:coreProperties>
</file>