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3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이순임\훈령개정\산림청 훈령개정(26.2.27)\의견조회\"/>
    </mc:Choice>
  </mc:AlternateContent>
  <xr:revisionPtr revIDLastSave="0" documentId="8_{0B171B88-A42B-4E05-B36E-09AD13290E8D}" xr6:coauthVersionLast="36" xr6:coauthVersionMax="36" xr10:uidLastSave="{00000000-0000-0000-0000-000000000000}"/>
  <bookViews>
    <workbookView xWindow="0" yWindow="0" windowWidth="21570" windowHeight="9195" activeTab="1" xr2:uid="{00000000-000D-0000-FFFF-FFFF00000000}"/>
  </bookViews>
  <sheets>
    <sheet name="별표1 중부청 기준정원" sheetId="1" r:id="rId1"/>
    <sheet name="별표1-1 중부청 운영정원" sheetId="6" r:id="rId2"/>
    <sheet name="별표1-2 중부청 운영정원 " sheetId="7" r:id="rId3"/>
  </sheets>
  <definedNames>
    <definedName name="_xlnm.Print_Area" localSheetId="0">'별표1 중부청 기준정원'!$A$1:$W$16</definedName>
    <definedName name="_xlnm.Print_Area" localSheetId="1">'별표1-1 중부청 운영정원'!$A$1:$Z$16</definedName>
    <definedName name="_xlnm.Print_Area" localSheetId="2">'별표1-2 중부청 운영정원 '!$A$1:$Z$16</definedName>
  </definedNames>
  <calcPr calcId="179021"/>
</workbook>
</file>

<file path=xl/calcChain.xml><?xml version="1.0" encoding="utf-8"?>
<calcChain xmlns="http://schemas.openxmlformats.org/spreadsheetml/2006/main">
  <c r="V12" i="7" l="1"/>
  <c r="V8" i="7"/>
  <c r="I12" i="7"/>
  <c r="I8" i="7"/>
  <c r="P12" i="7" l="1"/>
  <c r="P8" i="7"/>
  <c r="P7" i="7" s="1"/>
  <c r="P8" i="6"/>
  <c r="P12" i="6"/>
  <c r="P7" i="6"/>
  <c r="C10" i="1"/>
  <c r="W16" i="7"/>
  <c r="C16" i="7"/>
  <c r="B16" i="7" s="1"/>
  <c r="W15" i="7"/>
  <c r="C15" i="7"/>
  <c r="W14" i="7"/>
  <c r="C14" i="7"/>
  <c r="B14" i="7" s="1"/>
  <c r="W13" i="7"/>
  <c r="C13" i="7"/>
  <c r="Z12" i="7"/>
  <c r="Y12" i="7"/>
  <c r="X12" i="7"/>
  <c r="W12" i="7"/>
  <c r="U12" i="7"/>
  <c r="T12" i="7"/>
  <c r="S12" i="7"/>
  <c r="R12" i="7"/>
  <c r="Q12" i="7"/>
  <c r="O12" i="7"/>
  <c r="K12" i="7"/>
  <c r="J12" i="7"/>
  <c r="H12" i="7"/>
  <c r="G12" i="7"/>
  <c r="F12" i="7"/>
  <c r="E12" i="7"/>
  <c r="D12" i="7"/>
  <c r="W11" i="7"/>
  <c r="C11" i="7"/>
  <c r="W10" i="7"/>
  <c r="C10" i="7"/>
  <c r="B10" i="7" s="1"/>
  <c r="W9" i="7"/>
  <c r="C9" i="7"/>
  <c r="Z8" i="7"/>
  <c r="Z7" i="7" s="1"/>
  <c r="Y8" i="7"/>
  <c r="Y7" i="7" s="1"/>
  <c r="X8" i="7"/>
  <c r="X7" i="7" s="1"/>
  <c r="W8" i="7"/>
  <c r="W7" i="7" s="1"/>
  <c r="V7" i="7"/>
  <c r="U8" i="7"/>
  <c r="U7" i="7" s="1"/>
  <c r="S8" i="7"/>
  <c r="S7" i="7" s="1"/>
  <c r="R8" i="7"/>
  <c r="R7" i="7" s="1"/>
  <c r="Q8" i="7"/>
  <c r="Q7" i="7" s="1"/>
  <c r="O8" i="7"/>
  <c r="O7" i="7" s="1"/>
  <c r="N8" i="7"/>
  <c r="M8" i="7"/>
  <c r="L8" i="7"/>
  <c r="L7" i="7" s="1"/>
  <c r="J8" i="7"/>
  <c r="J7" i="7" s="1"/>
  <c r="I7" i="7"/>
  <c r="H8" i="7"/>
  <c r="H7" i="7" s="1"/>
  <c r="G8" i="7"/>
  <c r="F8" i="7"/>
  <c r="E8" i="7"/>
  <c r="E7" i="7" s="1"/>
  <c r="D8" i="7"/>
  <c r="D7" i="7" s="1"/>
  <c r="N7" i="7"/>
  <c r="M7" i="7"/>
  <c r="F7" i="7"/>
  <c r="W16" i="6"/>
  <c r="C16" i="6"/>
  <c r="B16" i="6" s="1"/>
  <c r="W15" i="6"/>
  <c r="C15" i="6"/>
  <c r="B15" i="6"/>
  <c r="W14" i="6"/>
  <c r="C14" i="6"/>
  <c r="B14" i="6" s="1"/>
  <c r="W13" i="6"/>
  <c r="C13" i="6"/>
  <c r="B13" i="6"/>
  <c r="Z12" i="6"/>
  <c r="Y12" i="6"/>
  <c r="W12" i="6" s="1"/>
  <c r="X12" i="6"/>
  <c r="V12" i="6"/>
  <c r="U12" i="6"/>
  <c r="T12" i="6"/>
  <c r="S12" i="6"/>
  <c r="R12" i="6"/>
  <c r="Q12" i="6"/>
  <c r="O12" i="6"/>
  <c r="K12" i="6"/>
  <c r="J12" i="6"/>
  <c r="I12" i="6"/>
  <c r="H12" i="6"/>
  <c r="G12" i="6"/>
  <c r="F12" i="6"/>
  <c r="E12" i="6"/>
  <c r="D12" i="6"/>
  <c r="W11" i="6"/>
  <c r="C11" i="6"/>
  <c r="B11" i="6"/>
  <c r="W10" i="6"/>
  <c r="W8" i="6" s="1"/>
  <c r="W7" i="6" s="1"/>
  <c r="C10" i="6"/>
  <c r="B10" i="6" s="1"/>
  <c r="W9" i="6"/>
  <c r="C9" i="6"/>
  <c r="B9" i="6"/>
  <c r="Z8" i="6"/>
  <c r="Z7" i="6" s="1"/>
  <c r="Y8" i="6"/>
  <c r="Y7" i="6" s="1"/>
  <c r="X8" i="6"/>
  <c r="V8" i="6"/>
  <c r="U8" i="6"/>
  <c r="U7" i="6" s="1"/>
  <c r="S8" i="6"/>
  <c r="S7" i="6" s="1"/>
  <c r="R8" i="6"/>
  <c r="R7" i="6" s="1"/>
  <c r="Q8" i="6"/>
  <c r="O8" i="6"/>
  <c r="N8" i="6"/>
  <c r="N7" i="6" s="1"/>
  <c r="M8" i="6"/>
  <c r="M7" i="6" s="1"/>
  <c r="L8" i="6"/>
  <c r="L7" i="6" s="1"/>
  <c r="J8" i="6"/>
  <c r="J7" i="6" s="1"/>
  <c r="I8" i="6"/>
  <c r="H8" i="6"/>
  <c r="G8" i="6"/>
  <c r="G7" i="6" s="1"/>
  <c r="F8" i="6"/>
  <c r="F7" i="6" s="1"/>
  <c r="E8" i="6"/>
  <c r="E7" i="6" s="1"/>
  <c r="D8" i="6"/>
  <c r="X7" i="6"/>
  <c r="Q7" i="6"/>
  <c r="O7" i="6"/>
  <c r="H7" i="6"/>
  <c r="V7" i="6" l="1"/>
  <c r="C12" i="6"/>
  <c r="B12" i="6" s="1"/>
  <c r="B11" i="7"/>
  <c r="B9" i="7"/>
  <c r="B13" i="7"/>
  <c r="B15" i="7"/>
  <c r="C12" i="7"/>
  <c r="B12" i="7" s="1"/>
  <c r="C8" i="6"/>
  <c r="C7" i="6" s="1"/>
  <c r="I7" i="6"/>
  <c r="G7" i="7"/>
  <c r="C8" i="7"/>
  <c r="D7" i="6"/>
  <c r="L8" i="1"/>
  <c r="C8" i="1"/>
  <c r="C7" i="1" s="1"/>
  <c r="C9" i="1"/>
  <c r="B8" i="6" l="1"/>
  <c r="C7" i="7"/>
  <c r="B8" i="7"/>
  <c r="B7" i="7" s="1"/>
  <c r="B7" i="6"/>
  <c r="Q12" i="1" l="1"/>
  <c r="J12" i="1"/>
  <c r="K12" i="1"/>
  <c r="L12" i="1"/>
  <c r="H8" i="1"/>
  <c r="H12" i="1"/>
  <c r="H7" i="1" l="1"/>
  <c r="K8" i="1"/>
  <c r="K7" i="1" s="1"/>
  <c r="L7" i="1"/>
  <c r="M8" i="1"/>
  <c r="I8" i="1"/>
  <c r="F8" i="1"/>
  <c r="F7" i="1" s="1"/>
  <c r="E8" i="1"/>
  <c r="E7" i="1" s="1"/>
  <c r="I12" i="1"/>
  <c r="U8" i="1"/>
  <c r="V8" i="1"/>
  <c r="W8" i="1"/>
  <c r="T9" i="1"/>
  <c r="T10" i="1"/>
  <c r="T11" i="1"/>
  <c r="U12" i="1"/>
  <c r="U7" i="1" s="1"/>
  <c r="V12" i="1"/>
  <c r="V7" i="1" s="1"/>
  <c r="W12" i="1"/>
  <c r="T13" i="1"/>
  <c r="T14" i="1"/>
  <c r="T15" i="1"/>
  <c r="T16" i="1"/>
  <c r="D8" i="1"/>
  <c r="D7" i="1"/>
  <c r="G8" i="1"/>
  <c r="N8" i="1"/>
  <c r="O8" i="1"/>
  <c r="P8" i="1"/>
  <c r="R8" i="1"/>
  <c r="S8" i="1"/>
  <c r="C11" i="1"/>
  <c r="B11" i="1" s="1"/>
  <c r="D12" i="1"/>
  <c r="G12" i="1"/>
  <c r="M12" i="1"/>
  <c r="N12" i="1"/>
  <c r="O12" i="1"/>
  <c r="P12" i="1"/>
  <c r="R12" i="1"/>
  <c r="S12" i="1"/>
  <c r="C13" i="1"/>
  <c r="C14" i="1"/>
  <c r="B14" i="1" s="1"/>
  <c r="C15" i="1"/>
  <c r="C16" i="1"/>
  <c r="T8" i="1" l="1"/>
  <c r="S7" i="1"/>
  <c r="P7" i="1"/>
  <c r="O7" i="1"/>
  <c r="T12" i="1"/>
  <c r="N7" i="1"/>
  <c r="I7" i="1"/>
  <c r="B16" i="1"/>
  <c r="G7" i="1"/>
  <c r="R7" i="1"/>
  <c r="B15" i="1"/>
  <c r="W7" i="1"/>
  <c r="M7" i="1"/>
  <c r="B10" i="1"/>
  <c r="B13" i="1"/>
  <c r="B9" i="1"/>
  <c r="C12" i="1"/>
  <c r="T7" i="1" l="1"/>
  <c r="B8" i="1"/>
  <c r="B7" i="1" s="1"/>
  <c r="B12" i="1"/>
</calcChain>
</file>

<file path=xl/sharedStrings.xml><?xml version="1.0" encoding="utf-8"?>
<sst xmlns="http://schemas.openxmlformats.org/spreadsheetml/2006/main" count="138" uniqueCount="50">
  <si>
    <t>행임
정업
서서
기기
보보
또
는</t>
  </si>
  <si>
    <t>방
송
통
신
서
기
보</t>
  </si>
  <si>
    <t>4급</t>
  </si>
  <si>
    <t>6급</t>
  </si>
  <si>
    <t>8급</t>
  </si>
  <si>
    <t>계</t>
  </si>
  <si>
    <t>9급</t>
  </si>
  <si>
    <t>소계</t>
  </si>
  <si>
    <t xml:space="preserve">
          직급별
조직별                                  </t>
  </si>
  <si>
    <t>운
전
서
기
보</t>
  </si>
  <si>
    <t>국유림관리소 계</t>
  </si>
  <si>
    <t>시간선택제
채용공무원</t>
  </si>
  <si>
    <t xml:space="preserve"> 지방청 계</t>
  </si>
  <si>
    <t>총
계</t>
  </si>
  <si>
    <t>일  반  직</t>
  </si>
  <si>
    <t xml:space="preserve">           중부지방산림청 운영정원표</t>
  </si>
  <si>
    <t>5급</t>
    <phoneticPr fontId="15" type="noConversion"/>
  </si>
  <si>
    <t>임업주사
행정주사 또는</t>
    <phoneticPr fontId="15" type="noConversion"/>
  </si>
  <si>
    <t>6급</t>
    <phoneticPr fontId="15" type="noConversion"/>
  </si>
  <si>
    <t>7급</t>
    <phoneticPr fontId="15" type="noConversion"/>
  </si>
  <si>
    <t>임업서기
행정서기 또는</t>
    <phoneticPr fontId="15" type="noConversion"/>
  </si>
  <si>
    <t>임업서기보
행정서기보 또는</t>
    <phoneticPr fontId="15" type="noConversion"/>
  </si>
  <si>
    <t>공업서기</t>
    <phoneticPr fontId="15" type="noConversion"/>
  </si>
  <si>
    <t>방송통신서기보</t>
    <phoneticPr fontId="15" type="noConversion"/>
  </si>
  <si>
    <t>운전서기보</t>
    <phoneticPr fontId="15" type="noConversion"/>
  </si>
  <si>
    <t>방송통신서기</t>
    <phoneticPr fontId="15" type="noConversion"/>
  </si>
  <si>
    <t>또는 임업주사보
행정주사보·</t>
    <phoneticPr fontId="15" type="noConversion"/>
  </si>
  <si>
    <t>또는 방재안전주사
행정주사·임업주사</t>
    <phoneticPr fontId="15" type="noConversion"/>
  </si>
  <si>
    <t xml:space="preserve">   - 산림경영과</t>
    <phoneticPr fontId="15" type="noConversion"/>
  </si>
  <si>
    <t xml:space="preserve">   - 충주관리소</t>
    <phoneticPr fontId="15" type="noConversion"/>
  </si>
  <si>
    <t xml:space="preserve">   - 보은관리소</t>
    <phoneticPr fontId="15" type="noConversion"/>
  </si>
  <si>
    <t xml:space="preserve">   - 단양관리소</t>
    <phoneticPr fontId="15" type="noConversion"/>
  </si>
  <si>
    <t xml:space="preserve">   - 부여관리소</t>
    <phoneticPr fontId="15" type="noConversion"/>
  </si>
  <si>
    <t>공시
업설
주주
사사
보보
또
는</t>
    <phoneticPr fontId="15" type="noConversion"/>
  </si>
  <si>
    <t>보
건
주
사
보</t>
    <phoneticPr fontId="15" type="noConversion"/>
  </si>
  <si>
    <t>임업사무관
행정사무관 또는</t>
    <phoneticPr fontId="15" type="noConversion"/>
  </si>
  <si>
    <t>운전주사</t>
    <phoneticPr fontId="15" type="noConversion"/>
  </si>
  <si>
    <t>방송통신주사보</t>
    <phoneticPr fontId="15" type="noConversion"/>
  </si>
  <si>
    <t>임업사무관
행정사무관 또는</t>
    <phoneticPr fontId="15" type="noConversion"/>
  </si>
  <si>
    <t>중부지방산림청 기준정원표</t>
    <phoneticPr fontId="15" type="noConversion"/>
  </si>
  <si>
    <t xml:space="preserve">   - 산림재난안전과</t>
    <phoneticPr fontId="15" type="noConversion"/>
  </si>
  <si>
    <t xml:space="preserve">   - 운영재산관리팀</t>
    <phoneticPr fontId="15" type="noConversion"/>
  </si>
  <si>
    <t>과학기술서기관 
서기관 또는</t>
    <phoneticPr fontId="15" type="noConversion"/>
  </si>
  <si>
    <t>임업주사</t>
    <phoneticPr fontId="15" type="noConversion"/>
  </si>
  <si>
    <t>임업주사보</t>
    <phoneticPr fontId="15" type="noConversion"/>
  </si>
  <si>
    <t>임업서기보</t>
    <phoneticPr fontId="15" type="noConversion"/>
  </si>
  <si>
    <t>&lt;별표1-2 : 2026.02.27.현재&gt;</t>
    <phoneticPr fontId="15" type="noConversion"/>
  </si>
  <si>
    <t>임업서기</t>
    <phoneticPr fontId="15" type="noConversion"/>
  </si>
  <si>
    <t>&lt;별표1-3 : 2027.04.01.현재&gt;</t>
    <phoneticPr fontId="15" type="noConversion"/>
  </si>
  <si>
    <t>&lt;별표 1 : 2026.02.27. 기준&gt;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</si>
</sst>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.0_ "/>
    <numFmt numFmtId="177" formatCode="_-* #,##0.0_-;\-* #,##0.0_-;_-* &quot;-&quot;_-;_-@_-"/>
  </numFmts>
  <fonts count="36" x14ac:knownFonts="1"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4"/>
      <color indexed="8"/>
      <name val="굴림체"/>
      <family val="3"/>
      <charset val="129"/>
    </font>
    <font>
      <sz val="11"/>
      <color indexed="8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12"/>
      <color indexed="8"/>
      <name val="굴림체"/>
      <family val="3"/>
      <charset val="129"/>
    </font>
    <font>
      <sz val="12"/>
      <color indexed="8"/>
      <name val="굴림체"/>
      <family val="3"/>
      <charset val="129"/>
    </font>
    <font>
      <b/>
      <sz val="12"/>
      <color indexed="8"/>
      <name val="HY헤드라인M"/>
      <family val="1"/>
      <charset val="129"/>
    </font>
    <font>
      <sz val="12"/>
      <color indexed="8"/>
      <name val="HY헤드라인M"/>
      <family val="1"/>
      <charset val="129"/>
    </font>
    <font>
      <sz val="24"/>
      <color indexed="8"/>
      <name val="HY헤드라인M"/>
      <family val="1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굴림체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sz val="11"/>
      <color rgb="FFFA7D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8"/>
      <color rgb="FF1F497D"/>
      <name val="맑은 고딕"/>
      <family val="3"/>
      <charset val="129"/>
    </font>
    <font>
      <b/>
      <sz val="15"/>
      <color rgb="FF1F497D"/>
      <name val="맑은 고딕"/>
      <family val="3"/>
      <charset val="129"/>
    </font>
    <font>
      <b/>
      <sz val="13"/>
      <color rgb="FF1F497D"/>
      <name val="맑은 고딕"/>
      <family val="3"/>
      <charset val="129"/>
    </font>
    <font>
      <b/>
      <sz val="11"/>
      <color rgb="FF1F497D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sz val="12"/>
      <color theme="1"/>
      <name val="굴림체"/>
      <family val="3"/>
      <charset val="129"/>
    </font>
    <font>
      <sz val="12"/>
      <color theme="1"/>
      <name val="굴림"/>
      <family val="3"/>
      <charset val="129"/>
    </font>
    <font>
      <b/>
      <sz val="12"/>
      <color theme="1"/>
      <name val="굴림체"/>
      <family val="3"/>
      <charset val="129"/>
    </font>
    <font>
      <sz val="12"/>
      <color theme="1"/>
      <name val="HY헤드라인M"/>
      <family val="1"/>
      <charset val="129"/>
    </font>
    <font>
      <sz val="12"/>
      <color rgb="FF0000FF"/>
      <name val="굴림"/>
      <family val="3"/>
      <charset val="129"/>
    </font>
    <font>
      <sz val="12"/>
      <color rgb="FF0000FF"/>
      <name val="굴림체"/>
      <family val="3"/>
      <charset val="129"/>
    </font>
    <font>
      <b/>
      <sz val="12"/>
      <color rgb="FF0000FF"/>
      <name val="굴림체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B3A2C7"/>
        <bgColor indexed="64"/>
      </patternFill>
    </fill>
    <fill>
      <patternFill patternType="solid">
        <fgColor rgb="FF92CDD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66FFFF"/>
        <bgColor indexed="64"/>
      </patternFill>
    </fill>
  </fills>
  <borders count="5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hair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 style="hair">
        <color indexed="64"/>
      </right>
      <top/>
      <bottom/>
      <diagonal style="hair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C0DE"/>
      </bottom>
      <diagonal/>
    </border>
    <border>
      <left/>
      <right/>
      <top/>
      <bottom style="medium">
        <color rgb="FF96B3D7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43">
    <xf numFmtId="0" fontId="0" fillId="0" borderId="0"/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29" borderId="47" applyNumberFormat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4" fillId="4" borderId="48" applyNumberFormat="0" applyFont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32" borderId="49" applyNumberFormat="0" applyAlignment="0" applyProtection="0">
      <alignment vertical="center"/>
    </xf>
    <xf numFmtId="41" fontId="14" fillId="0" borderId="0" applyFont="0" applyFill="0" applyBorder="0" applyAlignment="0" applyProtection="0"/>
    <xf numFmtId="0" fontId="21" fillId="0" borderId="50" applyNumberFormat="0" applyFill="0" applyAlignment="0" applyProtection="0">
      <alignment vertical="center"/>
    </xf>
    <xf numFmtId="0" fontId="5" fillId="0" borderId="51" applyNumberFormat="0" applyFill="0" applyAlignment="0" applyProtection="0">
      <alignment vertical="center"/>
    </xf>
    <xf numFmtId="0" fontId="22" fillId="3" borderId="47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52" applyNumberFormat="0" applyFill="0" applyAlignment="0" applyProtection="0">
      <alignment vertical="center"/>
    </xf>
    <xf numFmtId="0" fontId="25" fillId="0" borderId="53" applyNumberFormat="0" applyFill="0" applyAlignment="0" applyProtection="0">
      <alignment vertical="center"/>
    </xf>
    <xf numFmtId="0" fontId="26" fillId="0" borderId="5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29" borderId="55" applyNumberFormat="0" applyAlignment="0" applyProtection="0">
      <alignment vertical="center"/>
    </xf>
  </cellStyleXfs>
  <cellXfs count="159">
    <xf numFmtId="0" fontId="0" fillId="0" borderId="0" xfId="0" applyNumberFormat="1"/>
    <xf numFmtId="0" fontId="6" fillId="0" borderId="0" xfId="0" applyNumberFormat="1" applyFont="1"/>
    <xf numFmtId="0" fontId="7" fillId="0" borderId="0" xfId="0" applyNumberFormat="1" applyFont="1"/>
    <xf numFmtId="41" fontId="8" fillId="0" borderId="0" xfId="32" applyNumberFormat="1" applyFont="1" applyFill="1"/>
    <xf numFmtId="41" fontId="9" fillId="0" borderId="0" xfId="32" applyNumberFormat="1" applyFont="1" applyFill="1" applyBorder="1" applyAlignment="1">
      <alignment vertical="center"/>
    </xf>
    <xf numFmtId="41" fontId="8" fillId="0" borderId="0" xfId="32" applyNumberFormat="1" applyFont="1" applyFill="1" applyBorder="1" applyAlignment="1">
      <alignment vertical="center"/>
    </xf>
    <xf numFmtId="41" fontId="8" fillId="0" borderId="0" xfId="32" applyNumberFormat="1" applyFont="1" applyFill="1" applyBorder="1" applyAlignment="1">
      <alignment horizontal="center"/>
    </xf>
    <xf numFmtId="41" fontId="8" fillId="0" borderId="0" xfId="32" applyNumberFormat="1" applyFont="1" applyFill="1" applyBorder="1"/>
    <xf numFmtId="49" fontId="10" fillId="0" borderId="0" xfId="32" applyNumberFormat="1" applyFont="1" applyFill="1"/>
    <xf numFmtId="41" fontId="9" fillId="0" borderId="0" xfId="32" applyNumberFormat="1" applyFont="1" applyFill="1" applyAlignment="1">
      <alignment vertical="center"/>
    </xf>
    <xf numFmtId="41" fontId="10" fillId="0" borderId="0" xfId="32" applyNumberFormat="1" applyFont="1" applyFill="1" applyAlignment="1">
      <alignment vertical="center"/>
    </xf>
    <xf numFmtId="0" fontId="10" fillId="0" borderId="0" xfId="0" applyNumberFormat="1" applyFont="1"/>
    <xf numFmtId="41" fontId="11" fillId="34" borderId="2" xfId="32" applyNumberFormat="1" applyFont="1" applyFill="1" applyBorder="1" applyAlignment="1">
      <alignment vertical="center"/>
    </xf>
    <xf numFmtId="41" fontId="9" fillId="34" borderId="3" xfId="32" applyNumberFormat="1" applyFont="1" applyFill="1" applyBorder="1" applyAlignment="1">
      <alignment vertical="center"/>
    </xf>
    <xf numFmtId="177" fontId="9" fillId="34" borderId="3" xfId="32" applyNumberFormat="1" applyFont="1" applyFill="1" applyBorder="1" applyAlignment="1">
      <alignment vertical="center"/>
    </xf>
    <xf numFmtId="41" fontId="9" fillId="2" borderId="0" xfId="32" applyNumberFormat="1" applyFont="1" applyFill="1" applyBorder="1" applyAlignment="1">
      <alignment vertical="center"/>
    </xf>
    <xf numFmtId="41" fontId="12" fillId="0" borderId="4" xfId="32" applyNumberFormat="1" applyFont="1" applyFill="1" applyBorder="1" applyAlignment="1">
      <alignment horizontal="left" vertical="center"/>
    </xf>
    <xf numFmtId="177" fontId="10" fillId="0" borderId="5" xfId="32" applyNumberFormat="1" applyFont="1" applyFill="1" applyBorder="1" applyAlignment="1">
      <alignment vertical="center"/>
    </xf>
    <xf numFmtId="177" fontId="10" fillId="0" borderId="6" xfId="32" applyNumberFormat="1" applyFont="1" applyFill="1" applyBorder="1" applyAlignment="1">
      <alignment vertical="center"/>
    </xf>
    <xf numFmtId="41" fontId="12" fillId="0" borderId="7" xfId="32" applyNumberFormat="1" applyFont="1" applyFill="1" applyBorder="1" applyAlignment="1">
      <alignment horizontal="left" vertical="center"/>
    </xf>
    <xf numFmtId="41" fontId="10" fillId="0" borderId="1" xfId="32" applyNumberFormat="1" applyFont="1" applyFill="1" applyBorder="1" applyAlignment="1">
      <alignment vertical="center"/>
    </xf>
    <xf numFmtId="41" fontId="10" fillId="0" borderId="8" xfId="32" applyNumberFormat="1" applyFont="1" applyFill="1" applyBorder="1" applyAlignment="1">
      <alignment vertical="center"/>
    </xf>
    <xf numFmtId="41" fontId="12" fillId="0" borderId="9" xfId="32" applyNumberFormat="1" applyFont="1" applyFill="1" applyBorder="1" applyAlignment="1">
      <alignment horizontal="left" vertical="center"/>
    </xf>
    <xf numFmtId="41" fontId="10" fillId="0" borderId="10" xfId="32" applyNumberFormat="1" applyFont="1" applyFill="1" applyBorder="1" applyAlignment="1">
      <alignment vertical="center"/>
    </xf>
    <xf numFmtId="176" fontId="10" fillId="0" borderId="10" xfId="32" applyNumberFormat="1" applyFont="1" applyFill="1" applyBorder="1" applyAlignment="1">
      <alignment vertical="center"/>
    </xf>
    <xf numFmtId="176" fontId="10" fillId="0" borderId="11" xfId="32" applyNumberFormat="1" applyFont="1" applyFill="1" applyBorder="1" applyAlignment="1">
      <alignment vertical="center"/>
    </xf>
    <xf numFmtId="41" fontId="12" fillId="0" borderId="12" xfId="32" applyNumberFormat="1" applyFont="1" applyFill="1" applyBorder="1" applyAlignment="1">
      <alignment horizontal="left" vertical="center"/>
    </xf>
    <xf numFmtId="177" fontId="10" fillId="0" borderId="1" xfId="32" applyNumberFormat="1" applyFont="1" applyFill="1" applyBorder="1" applyAlignment="1">
      <alignment vertical="center"/>
    </xf>
    <xf numFmtId="177" fontId="10" fillId="0" borderId="8" xfId="32" applyNumberFormat="1" applyFont="1" applyFill="1" applyBorder="1" applyAlignment="1">
      <alignment vertical="center"/>
    </xf>
    <xf numFmtId="41" fontId="10" fillId="0" borderId="11" xfId="32" applyNumberFormat="1" applyFont="1" applyFill="1" applyBorder="1" applyAlignment="1">
      <alignment vertical="center"/>
    </xf>
    <xf numFmtId="41" fontId="11" fillId="34" borderId="14" xfId="32" applyNumberFormat="1" applyFont="1" applyFill="1" applyBorder="1" applyAlignment="1">
      <alignment vertical="center"/>
    </xf>
    <xf numFmtId="41" fontId="9" fillId="35" borderId="5" xfId="32" applyNumberFormat="1" applyFont="1" applyFill="1" applyBorder="1" applyAlignment="1">
      <alignment vertical="center"/>
    </xf>
    <xf numFmtId="41" fontId="9" fillId="35" borderId="1" xfId="32" applyNumberFormat="1" applyFont="1" applyFill="1" applyBorder="1" applyAlignment="1">
      <alignment vertical="center"/>
    </xf>
    <xf numFmtId="41" fontId="9" fillId="35" borderId="10" xfId="32" applyNumberFormat="1" applyFont="1" applyFill="1" applyBorder="1" applyAlignment="1">
      <alignment vertical="center"/>
    </xf>
    <xf numFmtId="41" fontId="9" fillId="35" borderId="13" xfId="32" applyNumberFormat="1" applyFont="1" applyFill="1" applyBorder="1" applyAlignment="1">
      <alignment vertical="center"/>
    </xf>
    <xf numFmtId="41" fontId="9" fillId="35" borderId="16" xfId="32" applyNumberFormat="1" applyFont="1" applyFill="1" applyBorder="1" applyAlignment="1">
      <alignment vertical="center"/>
    </xf>
    <xf numFmtId="41" fontId="9" fillId="35" borderId="17" xfId="32" applyNumberFormat="1" applyFont="1" applyFill="1" applyBorder="1" applyAlignment="1">
      <alignment vertical="center"/>
    </xf>
    <xf numFmtId="41" fontId="9" fillId="35" borderId="18" xfId="32" applyNumberFormat="1" applyFont="1" applyFill="1" applyBorder="1" applyAlignment="1">
      <alignment vertical="center"/>
    </xf>
    <xf numFmtId="49" fontId="10" fillId="0" borderId="19" xfId="32" applyNumberFormat="1" applyFont="1" applyFill="1" applyBorder="1" applyAlignment="1">
      <alignment vertical="top" textRotation="255" wrapText="1"/>
    </xf>
    <xf numFmtId="177" fontId="9" fillId="34" borderId="20" xfId="32" applyNumberFormat="1" applyFont="1" applyFill="1" applyBorder="1" applyAlignment="1">
      <alignment vertical="center"/>
    </xf>
    <xf numFmtId="177" fontId="9" fillId="34" borderId="1" xfId="32" applyNumberFormat="1" applyFont="1" applyFill="1" applyBorder="1" applyAlignment="1">
      <alignment vertical="center"/>
    </xf>
    <xf numFmtId="177" fontId="9" fillId="34" borderId="8" xfId="32" applyNumberFormat="1" applyFont="1" applyFill="1" applyBorder="1" applyAlignment="1">
      <alignment vertical="center"/>
    </xf>
    <xf numFmtId="177" fontId="9" fillId="34" borderId="21" xfId="32" applyNumberFormat="1" applyFont="1" applyFill="1" applyBorder="1" applyAlignment="1">
      <alignment vertical="center"/>
    </xf>
    <xf numFmtId="177" fontId="10" fillId="35" borderId="21" xfId="32" applyNumberFormat="1" applyFont="1" applyFill="1" applyBorder="1" applyAlignment="1">
      <alignment vertical="center"/>
    </xf>
    <xf numFmtId="176" fontId="10" fillId="35" borderId="21" xfId="32" applyNumberFormat="1" applyFont="1" applyFill="1" applyBorder="1" applyAlignment="1">
      <alignment vertical="center"/>
    </xf>
    <xf numFmtId="177" fontId="10" fillId="35" borderId="22" xfId="32" applyNumberFormat="1" applyFont="1" applyFill="1" applyBorder="1" applyAlignment="1">
      <alignment vertical="center"/>
    </xf>
    <xf numFmtId="49" fontId="10" fillId="0" borderId="1" xfId="32" applyNumberFormat="1" applyFont="1" applyFill="1" applyBorder="1" applyAlignment="1">
      <alignment horizontal="center" vertical="top" wrapText="1"/>
    </xf>
    <xf numFmtId="49" fontId="10" fillId="0" borderId="8" xfId="32" applyNumberFormat="1" applyFont="1" applyFill="1" applyBorder="1" applyAlignment="1">
      <alignment horizontal="center" vertical="top" wrapText="1"/>
    </xf>
    <xf numFmtId="177" fontId="9" fillId="34" borderId="23" xfId="32" applyNumberFormat="1" applyFont="1" applyFill="1" applyBorder="1" applyAlignment="1">
      <alignment vertical="center"/>
    </xf>
    <xf numFmtId="177" fontId="10" fillId="35" borderId="24" xfId="32" applyNumberFormat="1" applyFont="1" applyFill="1" applyBorder="1" applyAlignment="1">
      <alignment vertical="center"/>
    </xf>
    <xf numFmtId="176" fontId="10" fillId="35" borderId="22" xfId="32" applyNumberFormat="1" applyFont="1" applyFill="1" applyBorder="1" applyAlignment="1">
      <alignment vertical="center"/>
    </xf>
    <xf numFmtId="177" fontId="10" fillId="35" borderId="25" xfId="32" applyNumberFormat="1" applyFont="1" applyFill="1" applyBorder="1" applyAlignment="1">
      <alignment vertical="center"/>
    </xf>
    <xf numFmtId="49" fontId="10" fillId="0" borderId="26" xfId="32" applyNumberFormat="1" applyFont="1" applyFill="1" applyBorder="1" applyAlignment="1">
      <alignment vertical="top" textRotation="255" wrapText="1"/>
    </xf>
    <xf numFmtId="41" fontId="16" fillId="0" borderId="1" xfId="32" applyNumberFormat="1" applyFont="1" applyFill="1" applyBorder="1" applyAlignment="1">
      <alignment vertical="center"/>
    </xf>
    <xf numFmtId="41" fontId="16" fillId="2" borderId="1" xfId="32" applyNumberFormat="1" applyFont="1" applyFill="1" applyBorder="1" applyAlignment="1">
      <alignment vertical="center"/>
    </xf>
    <xf numFmtId="41" fontId="16" fillId="0" borderId="10" xfId="32" applyNumberFormat="1" applyFont="1" applyFill="1" applyBorder="1" applyAlignment="1">
      <alignment vertical="center"/>
    </xf>
    <xf numFmtId="41" fontId="16" fillId="0" borderId="5" xfId="32" applyNumberFormat="1" applyFont="1" applyFill="1" applyBorder="1" applyAlignment="1">
      <alignment vertical="center"/>
    </xf>
    <xf numFmtId="41" fontId="16" fillId="0" borderId="13" xfId="32" applyNumberFormat="1" applyFont="1" applyFill="1" applyBorder="1" applyAlignment="1">
      <alignment vertical="center"/>
    </xf>
    <xf numFmtId="176" fontId="10" fillId="0" borderId="19" xfId="32" applyNumberFormat="1" applyFont="1" applyFill="1" applyBorder="1" applyAlignment="1">
      <alignment vertical="center"/>
    </xf>
    <xf numFmtId="176" fontId="10" fillId="0" borderId="26" xfId="32" applyNumberFormat="1" applyFont="1" applyFill="1" applyBorder="1" applyAlignment="1">
      <alignment vertical="center"/>
    </xf>
    <xf numFmtId="41" fontId="29" fillId="0" borderId="1" xfId="32" applyNumberFormat="1" applyFont="1" applyFill="1" applyBorder="1" applyAlignment="1">
      <alignment vertical="center"/>
    </xf>
    <xf numFmtId="41" fontId="29" fillId="0" borderId="10" xfId="32" applyNumberFormat="1" applyFont="1" applyFill="1" applyBorder="1" applyAlignment="1">
      <alignment vertical="center"/>
    </xf>
    <xf numFmtId="49" fontId="29" fillId="0" borderId="28" xfId="32" applyNumberFormat="1" applyFont="1" applyFill="1" applyBorder="1" applyAlignment="1">
      <alignment horizontal="center" vertical="center"/>
    </xf>
    <xf numFmtId="41" fontId="29" fillId="0" borderId="28" xfId="32" applyNumberFormat="1" applyFont="1" applyFill="1" applyBorder="1" applyAlignment="1">
      <alignment horizontal="center" vertical="center"/>
    </xf>
    <xf numFmtId="49" fontId="29" fillId="2" borderId="29" xfId="32" applyNumberFormat="1" applyFont="1" applyFill="1" applyBorder="1" applyAlignment="1">
      <alignment horizontal="center" vertical="top" textRotation="255" wrapText="1"/>
    </xf>
    <xf numFmtId="49" fontId="29" fillId="2" borderId="29" xfId="32" applyNumberFormat="1" applyFont="1" applyFill="1" applyBorder="1" applyAlignment="1">
      <alignment horizontal="center" vertical="top" textRotation="255" wrapText="1" readingOrder="1"/>
    </xf>
    <xf numFmtId="49" fontId="29" fillId="0" borderId="30" xfId="32" applyNumberFormat="1" applyFont="1" applyFill="1" applyBorder="1" applyAlignment="1">
      <alignment vertical="top" textRotation="255" wrapText="1"/>
    </xf>
    <xf numFmtId="0" fontId="30" fillId="0" borderId="19" xfId="0" applyNumberFormat="1" applyFont="1" applyFill="1" applyBorder="1" applyAlignment="1">
      <alignment horizontal="center" vertical="top" textRotation="255" wrapText="1"/>
    </xf>
    <xf numFmtId="49" fontId="29" fillId="0" borderId="26" xfId="32" applyNumberFormat="1" applyFont="1" applyFill="1" applyBorder="1" applyAlignment="1">
      <alignment vertical="top" textRotation="255" wrapText="1"/>
    </xf>
    <xf numFmtId="49" fontId="29" fillId="0" borderId="10" xfId="32" applyNumberFormat="1" applyFont="1" applyFill="1" applyBorder="1" applyAlignment="1">
      <alignment horizontal="center" vertical="top" wrapText="1"/>
    </xf>
    <xf numFmtId="49" fontId="29" fillId="0" borderId="19" xfId="32" applyNumberFormat="1" applyFont="1" applyFill="1" applyBorder="1" applyAlignment="1">
      <alignment vertical="top" textRotation="255" wrapText="1"/>
    </xf>
    <xf numFmtId="41" fontId="31" fillId="35" borderId="18" xfId="32" applyNumberFormat="1" applyFont="1" applyFill="1" applyBorder="1" applyAlignment="1">
      <alignment vertical="center"/>
    </xf>
    <xf numFmtId="41" fontId="29" fillId="0" borderId="16" xfId="32" applyNumberFormat="1" applyFont="1" applyFill="1" applyBorder="1" applyAlignment="1">
      <alignment vertical="center"/>
    </xf>
    <xf numFmtId="41" fontId="29" fillId="0" borderId="7" xfId="32" applyNumberFormat="1" applyFont="1" applyFill="1" applyBorder="1" applyAlignment="1">
      <alignment vertical="center"/>
    </xf>
    <xf numFmtId="41" fontId="29" fillId="0" borderId="8" xfId="32" applyNumberFormat="1" applyFont="1" applyFill="1" applyBorder="1" applyAlignment="1">
      <alignment vertical="center"/>
    </xf>
    <xf numFmtId="41" fontId="29" fillId="2" borderId="7" xfId="32" applyNumberFormat="1" applyFont="1" applyFill="1" applyBorder="1" applyAlignment="1">
      <alignment vertical="center"/>
    </xf>
    <xf numFmtId="41" fontId="31" fillId="35" borderId="16" xfId="32" applyNumberFormat="1" applyFont="1" applyFill="1" applyBorder="1" applyAlignment="1">
      <alignment vertical="center"/>
    </xf>
    <xf numFmtId="41" fontId="29" fillId="2" borderId="1" xfId="32" applyNumberFormat="1" applyFont="1" applyFill="1" applyBorder="1" applyAlignment="1">
      <alignment vertical="center"/>
    </xf>
    <xf numFmtId="41" fontId="29" fillId="2" borderId="8" xfId="32" applyNumberFormat="1" applyFont="1" applyFill="1" applyBorder="1" applyAlignment="1">
      <alignment vertical="center"/>
    </xf>
    <xf numFmtId="41" fontId="31" fillId="35" borderId="17" xfId="32" applyNumberFormat="1" applyFont="1" applyFill="1" applyBorder="1" applyAlignment="1">
      <alignment vertical="center"/>
    </xf>
    <xf numFmtId="41" fontId="29" fillId="0" borderId="17" xfId="32" applyNumberFormat="1" applyFont="1" applyFill="1" applyBorder="1" applyAlignment="1">
      <alignment vertical="center"/>
    </xf>
    <xf numFmtId="41" fontId="29" fillId="2" borderId="10" xfId="32" applyNumberFormat="1" applyFont="1" applyFill="1" applyBorder="1" applyAlignment="1">
      <alignment vertical="center"/>
    </xf>
    <xf numFmtId="41" fontId="29" fillId="2" borderId="11" xfId="32" applyNumberFormat="1" applyFont="1" applyFill="1" applyBorder="1" applyAlignment="1">
      <alignment vertical="center"/>
    </xf>
    <xf numFmtId="41" fontId="29" fillId="0" borderId="11" xfId="32" applyNumberFormat="1" applyFont="1" applyFill="1" applyBorder="1" applyAlignment="1">
      <alignment vertical="center"/>
    </xf>
    <xf numFmtId="41" fontId="29" fillId="0" borderId="28" xfId="32" applyNumberFormat="1" applyFont="1" applyFill="1" applyBorder="1" applyAlignment="1">
      <alignment vertical="center"/>
    </xf>
    <xf numFmtId="41" fontId="29" fillId="0" borderId="4" xfId="32" applyNumberFormat="1" applyFont="1" applyFill="1" applyBorder="1" applyAlignment="1">
      <alignment vertical="center"/>
    </xf>
    <xf numFmtId="41" fontId="29" fillId="0" borderId="5" xfId="32" applyNumberFormat="1" applyFont="1" applyFill="1" applyBorder="1" applyAlignment="1">
      <alignment vertical="center"/>
    </xf>
    <xf numFmtId="41" fontId="29" fillId="0" borderId="6" xfId="32" applyNumberFormat="1" applyFont="1" applyFill="1" applyBorder="1" applyAlignment="1">
      <alignment vertical="center"/>
    </xf>
    <xf numFmtId="41" fontId="29" fillId="2" borderId="4" xfId="32" applyNumberFormat="1" applyFont="1" applyFill="1" applyBorder="1" applyAlignment="1">
      <alignment vertical="center"/>
    </xf>
    <xf numFmtId="41" fontId="29" fillId="0" borderId="9" xfId="32" applyNumberFormat="1" applyFont="1" applyFill="1" applyBorder="1" applyAlignment="1">
      <alignment vertical="center"/>
    </xf>
    <xf numFmtId="41" fontId="31" fillId="34" borderId="3" xfId="32" applyNumberFormat="1" applyFont="1" applyFill="1" applyBorder="1" applyAlignment="1">
      <alignment vertical="center"/>
    </xf>
    <xf numFmtId="41" fontId="31" fillId="34" borderId="20" xfId="32" applyNumberFormat="1" applyFont="1" applyFill="1" applyBorder="1" applyAlignment="1">
      <alignment vertical="center"/>
    </xf>
    <xf numFmtId="49" fontId="29" fillId="2" borderId="19" xfId="32" applyNumberFormat="1" applyFont="1" applyFill="1" applyBorder="1" applyAlignment="1">
      <alignment horizontal="center" vertical="top" textRotation="255" wrapText="1"/>
    </xf>
    <xf numFmtId="41" fontId="32" fillId="0" borderId="7" xfId="32" applyNumberFormat="1" applyFont="1" applyFill="1" applyBorder="1" applyAlignment="1">
      <alignment horizontal="left" vertical="center"/>
    </xf>
    <xf numFmtId="41" fontId="31" fillId="34" borderId="15" xfId="32" applyNumberFormat="1" applyFont="1" applyFill="1" applyBorder="1" applyAlignment="1">
      <alignment vertical="center"/>
    </xf>
    <xf numFmtId="41" fontId="31" fillId="35" borderId="5" xfId="32" applyNumberFormat="1" applyFont="1" applyFill="1" applyBorder="1" applyAlignment="1">
      <alignment vertical="center"/>
    </xf>
    <xf numFmtId="41" fontId="31" fillId="35" borderId="1" xfId="32" applyNumberFormat="1" applyFont="1" applyFill="1" applyBorder="1" applyAlignment="1">
      <alignment vertical="center"/>
    </xf>
    <xf numFmtId="41" fontId="31" fillId="35" borderId="10" xfId="32" applyNumberFormat="1" applyFont="1" applyFill="1" applyBorder="1" applyAlignment="1">
      <alignment vertical="center"/>
    </xf>
    <xf numFmtId="0" fontId="33" fillId="0" borderId="19" xfId="0" applyNumberFormat="1" applyFont="1" applyFill="1" applyBorder="1" applyAlignment="1">
      <alignment horizontal="center" vertical="top" textRotation="255" wrapText="1"/>
    </xf>
    <xf numFmtId="41" fontId="34" fillId="0" borderId="1" xfId="32" applyNumberFormat="1" applyFont="1" applyFill="1" applyBorder="1" applyAlignment="1">
      <alignment vertical="center"/>
    </xf>
    <xf numFmtId="41" fontId="35" fillId="34" borderId="3" xfId="32" applyNumberFormat="1" applyFont="1" applyFill="1" applyBorder="1" applyAlignment="1">
      <alignment vertical="center"/>
    </xf>
    <xf numFmtId="41" fontId="29" fillId="0" borderId="18" xfId="32" applyNumberFormat="1" applyFont="1" applyFill="1" applyBorder="1" applyAlignment="1">
      <alignment vertical="center"/>
    </xf>
    <xf numFmtId="41" fontId="29" fillId="0" borderId="12" xfId="32" applyNumberFormat="1" applyFont="1" applyFill="1" applyBorder="1" applyAlignment="1">
      <alignment vertical="center"/>
    </xf>
    <xf numFmtId="41" fontId="29" fillId="0" borderId="13" xfId="32" applyNumberFormat="1" applyFont="1" applyFill="1" applyBorder="1" applyAlignment="1">
      <alignment vertical="center"/>
    </xf>
    <xf numFmtId="41" fontId="31" fillId="34" borderId="2" xfId="32" applyNumberFormat="1" applyFont="1" applyFill="1" applyBorder="1" applyAlignment="1">
      <alignment vertical="center"/>
    </xf>
    <xf numFmtId="41" fontId="29" fillId="0" borderId="27" xfId="32" applyNumberFormat="1" applyFont="1" applyFill="1" applyBorder="1" applyAlignment="1">
      <alignment vertical="center"/>
    </xf>
    <xf numFmtId="41" fontId="16" fillId="0" borderId="7" xfId="32" applyNumberFormat="1" applyFont="1" applyFill="1" applyBorder="1" applyAlignment="1">
      <alignment vertical="center"/>
    </xf>
    <xf numFmtId="41" fontId="29" fillId="2" borderId="21" xfId="32" applyNumberFormat="1" applyFont="1" applyFill="1" applyBorder="1" applyAlignment="1">
      <alignment vertical="center"/>
    </xf>
    <xf numFmtId="41" fontId="16" fillId="0" borderId="21" xfId="32" applyNumberFormat="1" applyFont="1" applyFill="1" applyBorder="1" applyAlignment="1">
      <alignment vertical="center"/>
    </xf>
    <xf numFmtId="41" fontId="29" fillId="0" borderId="22" xfId="32" applyNumberFormat="1" applyFont="1" applyFill="1" applyBorder="1" applyAlignment="1">
      <alignment vertical="center"/>
    </xf>
    <xf numFmtId="41" fontId="34" fillId="2" borderId="21" xfId="32" applyNumberFormat="1" applyFont="1" applyFill="1" applyBorder="1" applyAlignment="1">
      <alignment vertical="center"/>
    </xf>
    <xf numFmtId="49" fontId="34" fillId="0" borderId="57" xfId="32" applyNumberFormat="1" applyFont="1" applyFill="1" applyBorder="1" applyAlignment="1">
      <alignment vertical="top" textRotation="255" wrapText="1"/>
    </xf>
    <xf numFmtId="41" fontId="35" fillId="34" borderId="2" xfId="32" applyNumberFormat="1" applyFont="1" applyFill="1" applyBorder="1" applyAlignment="1">
      <alignment vertical="center"/>
    </xf>
    <xf numFmtId="49" fontId="29" fillId="0" borderId="1" xfId="32" applyNumberFormat="1" applyFont="1" applyFill="1" applyBorder="1" applyAlignment="1">
      <alignment horizontal="center" vertical="center"/>
    </xf>
    <xf numFmtId="41" fontId="29" fillId="0" borderId="1" xfId="32" applyNumberFormat="1" applyFont="1" applyFill="1" applyBorder="1" applyAlignment="1">
      <alignment horizontal="center" vertical="center"/>
    </xf>
    <xf numFmtId="49" fontId="29" fillId="2" borderId="19" xfId="32" applyNumberFormat="1" applyFont="1" applyFill="1" applyBorder="1" applyAlignment="1">
      <alignment horizontal="center" vertical="top" textRotation="255" wrapText="1" readingOrder="1"/>
    </xf>
    <xf numFmtId="41" fontId="31" fillId="35" borderId="13" xfId="32" applyNumberFormat="1" applyFont="1" applyFill="1" applyBorder="1" applyAlignment="1">
      <alignment vertical="center"/>
    </xf>
    <xf numFmtId="177" fontId="29" fillId="2" borderId="1" xfId="32" applyNumberFormat="1" applyFont="1" applyFill="1" applyBorder="1" applyAlignment="1">
      <alignment vertical="center"/>
    </xf>
    <xf numFmtId="49" fontId="29" fillId="0" borderId="19" xfId="32" applyNumberFormat="1" applyFont="1" applyFill="1" applyBorder="1" applyAlignment="1">
      <alignment horizontal="center" vertical="center"/>
    </xf>
    <xf numFmtId="49" fontId="29" fillId="0" borderId="38" xfId="32" applyNumberFormat="1" applyFont="1" applyFill="1" applyBorder="1" applyAlignment="1">
      <alignment horizontal="center" vertical="center"/>
    </xf>
    <xf numFmtId="0" fontId="13" fillId="2" borderId="0" xfId="0" applyNumberFormat="1" applyFont="1" applyFill="1" applyBorder="1" applyAlignment="1">
      <alignment horizontal="center" vertical="center"/>
    </xf>
    <xf numFmtId="49" fontId="10" fillId="0" borderId="30" xfId="32" applyNumberFormat="1" applyFont="1" applyFill="1" applyBorder="1" applyAlignment="1">
      <alignment horizontal="center" vertical="center"/>
    </xf>
    <xf numFmtId="49" fontId="10" fillId="0" borderId="39" xfId="32" applyNumberFormat="1" applyFont="1" applyFill="1" applyBorder="1" applyAlignment="1">
      <alignment horizontal="center" vertical="center"/>
    </xf>
    <xf numFmtId="49" fontId="29" fillId="0" borderId="1" xfId="32" applyNumberFormat="1" applyFont="1" applyFill="1" applyBorder="1" applyAlignment="1">
      <alignment horizontal="center" vertical="center"/>
    </xf>
    <xf numFmtId="49" fontId="29" fillId="0" borderId="8" xfId="32" applyNumberFormat="1" applyFont="1" applyFill="1" applyBorder="1" applyAlignment="1">
      <alignment horizontal="center" vertical="center"/>
    </xf>
    <xf numFmtId="49" fontId="10" fillId="0" borderId="40" xfId="32" applyNumberFormat="1" applyFont="1" applyFill="1" applyBorder="1" applyAlignment="1">
      <alignment vertical="top" wrapText="1"/>
    </xf>
    <xf numFmtId="49" fontId="10" fillId="0" borderId="41" xfId="32" applyNumberFormat="1" applyFont="1" applyFill="1" applyBorder="1" applyAlignment="1">
      <alignment vertical="top" wrapText="1"/>
    </xf>
    <xf numFmtId="49" fontId="10" fillId="0" borderId="31" xfId="32" applyNumberFormat="1" applyFont="1" applyFill="1" applyBorder="1" applyAlignment="1">
      <alignment horizontal="center" vertical="center"/>
    </xf>
    <xf numFmtId="49" fontId="10" fillId="0" borderId="32" xfId="32" applyNumberFormat="1" applyFont="1" applyFill="1" applyBorder="1" applyAlignment="1">
      <alignment horizontal="center" vertical="center"/>
    </xf>
    <xf numFmtId="49" fontId="10" fillId="0" borderId="33" xfId="32" applyNumberFormat="1" applyFont="1" applyFill="1" applyBorder="1" applyAlignment="1">
      <alignment horizontal="center" vertical="center"/>
    </xf>
    <xf numFmtId="49" fontId="10" fillId="0" borderId="34" xfId="32" applyNumberFormat="1" applyFont="1" applyFill="1" applyBorder="1" applyAlignment="1">
      <alignment horizontal="center" wrapText="1"/>
    </xf>
    <xf numFmtId="49" fontId="10" fillId="0" borderId="35" xfId="32" applyNumberFormat="1" applyFont="1" applyFill="1" applyBorder="1" applyAlignment="1">
      <alignment horizontal="center" wrapText="1"/>
    </xf>
    <xf numFmtId="49" fontId="10" fillId="0" borderId="36" xfId="32" applyNumberFormat="1" applyFont="1" applyFill="1" applyBorder="1" applyAlignment="1">
      <alignment horizontal="center" wrapText="1"/>
    </xf>
    <xf numFmtId="49" fontId="10" fillId="0" borderId="37" xfId="32" applyNumberFormat="1" applyFont="1" applyFill="1" applyBorder="1" applyAlignment="1">
      <alignment horizontal="center" vertical="center" wrapText="1"/>
    </xf>
    <xf numFmtId="49" fontId="10" fillId="0" borderId="38" xfId="32" applyNumberFormat="1" applyFont="1" applyFill="1" applyBorder="1" applyAlignment="1">
      <alignment horizontal="center" vertical="center" wrapText="1"/>
    </xf>
    <xf numFmtId="49" fontId="29" fillId="0" borderId="5" xfId="32" applyNumberFormat="1" applyFont="1" applyFill="1" applyBorder="1" applyAlignment="1">
      <alignment horizontal="center" vertical="center"/>
    </xf>
    <xf numFmtId="49" fontId="29" fillId="0" borderId="6" xfId="32" applyNumberFormat="1" applyFont="1" applyFill="1" applyBorder="1" applyAlignment="1">
      <alignment horizontal="center" vertical="center"/>
    </xf>
    <xf numFmtId="49" fontId="29" fillId="0" borderId="31" xfId="32" applyNumberFormat="1" applyFont="1" applyFill="1" applyBorder="1" applyAlignment="1">
      <alignment horizontal="center" vertical="center"/>
    </xf>
    <xf numFmtId="49" fontId="29" fillId="0" borderId="32" xfId="32" applyNumberFormat="1" applyFont="1" applyFill="1" applyBorder="1" applyAlignment="1">
      <alignment horizontal="center" vertical="center"/>
    </xf>
    <xf numFmtId="49" fontId="29" fillId="0" borderId="21" xfId="32" applyNumberFormat="1" applyFont="1" applyFill="1" applyBorder="1" applyAlignment="1">
      <alignment horizontal="center" vertical="center"/>
    </xf>
    <xf numFmtId="49" fontId="10" fillId="0" borderId="21" xfId="32" applyNumberFormat="1" applyFont="1" applyFill="1" applyBorder="1" applyAlignment="1">
      <alignment horizontal="center" vertical="center"/>
    </xf>
    <xf numFmtId="49" fontId="10" fillId="0" borderId="1" xfId="32" applyNumberFormat="1" applyFont="1" applyFill="1" applyBorder="1" applyAlignment="1">
      <alignment horizontal="center" vertical="center"/>
    </xf>
    <xf numFmtId="49" fontId="10" fillId="0" borderId="8" xfId="32" applyNumberFormat="1" applyFont="1" applyFill="1" applyBorder="1" applyAlignment="1">
      <alignment horizontal="center" vertical="center"/>
    </xf>
    <xf numFmtId="49" fontId="10" fillId="0" borderId="42" xfId="32" applyNumberFormat="1" applyFont="1" applyFill="1" applyBorder="1" applyAlignment="1">
      <alignment horizontal="center" vertical="center" wrapText="1"/>
    </xf>
    <xf numFmtId="49" fontId="10" fillId="0" borderId="43" xfId="32" applyNumberFormat="1" applyFont="1" applyFill="1" applyBorder="1" applyAlignment="1">
      <alignment horizontal="center" vertical="center" wrapText="1"/>
    </xf>
    <xf numFmtId="49" fontId="10" fillId="0" borderId="44" xfId="32" applyNumberFormat="1" applyFont="1" applyFill="1" applyBorder="1" applyAlignment="1">
      <alignment horizontal="center" vertical="center"/>
    </xf>
    <xf numFmtId="49" fontId="10" fillId="0" borderId="37" xfId="32" applyNumberFormat="1" applyFont="1" applyFill="1" applyBorder="1" applyAlignment="1">
      <alignment horizontal="center" vertical="center"/>
    </xf>
    <xf numFmtId="49" fontId="10" fillId="0" borderId="45" xfId="32" applyNumberFormat="1" applyFont="1" applyFill="1" applyBorder="1" applyAlignment="1">
      <alignment horizontal="center" vertical="center"/>
    </xf>
    <xf numFmtId="49" fontId="10" fillId="0" borderId="46" xfId="32" applyNumberFormat="1" applyFont="1" applyFill="1" applyBorder="1" applyAlignment="1">
      <alignment horizontal="center" vertical="center"/>
    </xf>
    <xf numFmtId="49" fontId="29" fillId="0" borderId="42" xfId="32" applyNumberFormat="1" applyFont="1" applyFill="1" applyBorder="1" applyAlignment="1">
      <alignment horizontal="center" vertical="center"/>
    </xf>
    <xf numFmtId="49" fontId="29" fillId="0" borderId="43" xfId="32" applyNumberFormat="1" applyFont="1" applyFill="1" applyBorder="1" applyAlignment="1">
      <alignment horizontal="center" vertical="center"/>
    </xf>
    <xf numFmtId="49" fontId="29" fillId="0" borderId="4" xfId="32" applyNumberFormat="1" applyFont="1" applyFill="1" applyBorder="1" applyAlignment="1">
      <alignment horizontal="center" vertical="center"/>
    </xf>
    <xf numFmtId="49" fontId="29" fillId="0" borderId="56" xfId="32" applyNumberFormat="1" applyFont="1" applyFill="1" applyBorder="1" applyAlignment="1">
      <alignment horizontal="center" vertical="center"/>
    </xf>
    <xf numFmtId="49" fontId="29" fillId="0" borderId="34" xfId="32" applyNumberFormat="1" applyFont="1" applyFill="1" applyBorder="1" applyAlignment="1">
      <alignment horizontal="center" vertical="center"/>
    </xf>
    <xf numFmtId="49" fontId="29" fillId="0" borderId="35" xfId="32" applyNumberFormat="1" applyFont="1" applyFill="1" applyBorder="1" applyAlignment="1">
      <alignment horizontal="center" vertical="center"/>
    </xf>
    <xf numFmtId="49" fontId="29" fillId="0" borderId="36" xfId="32" applyNumberFormat="1" applyFont="1" applyFill="1" applyBorder="1" applyAlignment="1">
      <alignment horizontal="center" vertical="center"/>
    </xf>
    <xf numFmtId="49" fontId="29" fillId="0" borderId="24" xfId="32" applyNumberFormat="1" applyFont="1" applyFill="1" applyBorder="1" applyAlignment="1">
      <alignment horizontal="center" vertical="center"/>
    </xf>
    <xf numFmtId="49" fontId="34" fillId="0" borderId="26" xfId="32" applyNumberFormat="1" applyFont="1" applyFill="1" applyBorder="1" applyAlignment="1">
      <alignment vertical="top" textRotation="255" wrapText="1"/>
    </xf>
    <xf numFmtId="41" fontId="34" fillId="0" borderId="8" xfId="32" applyNumberFormat="1" applyFont="1" applyFill="1" applyBorder="1" applyAlignment="1">
      <alignment vertical="center"/>
    </xf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쉼표 [0]" xfId="32" builtinId="6"/>
    <cellStyle name="연결된 셀" xfId="33" builtinId="24" customBuiltin="1"/>
    <cellStyle name="요약" xfId="34" builtinId="25" customBuiltin="1"/>
    <cellStyle name="입력" xfId="35" builtinId="20" customBuiltin="1"/>
    <cellStyle name="제목" xfId="36" builtinId="15" customBuiltin="1"/>
    <cellStyle name="제목 1" xfId="37" builtinId="16" customBuiltin="1"/>
    <cellStyle name="제목 2" xfId="38" builtinId="17" customBuiltin="1"/>
    <cellStyle name="제목 3" xfId="39" builtinId="18" customBuiltin="1"/>
    <cellStyle name="제목 4" xfId="40" builtinId="19" customBuiltin="1"/>
    <cellStyle name="좋음" xfId="41" builtinId="26" customBuiltin="1"/>
    <cellStyle name="출력" xfId="42" builtinId="21" customBuiltin="1"/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P87"/>
  <sheetViews>
    <sheetView view="pageBreakPreview" zoomScale="85" zoomScaleNormal="85" zoomScaleSheetLayoutView="85" workbookViewId="0">
      <pane xSplit="5" ySplit="6" topLeftCell="F7" activePane="bottomRight" state="frozen"/>
      <selection activeCell="O17" sqref="O17"/>
      <selection pane="topRight" activeCell="O17" sqref="O17"/>
      <selection pane="bottomLeft" activeCell="O17" sqref="O17"/>
      <selection pane="bottomRight" activeCell="A4" sqref="A4:A6"/>
    </sheetView>
  </sheetViews>
  <sheetFormatPr defaultRowHeight="13.5" x14ac:dyDescent="0.15"/>
  <cols>
    <col min="1" max="1" width="22.5546875" style="2" customWidth="1"/>
    <col min="2" max="2" width="10.77734375" style="2" hidden="1" customWidth="1"/>
    <col min="3" max="19" width="11.77734375" style="2" customWidth="1"/>
    <col min="20" max="23" width="9.33203125" style="2" hidden="1" customWidth="1"/>
    <col min="24" max="250" width="8.88671875" style="2" customWidth="1"/>
  </cols>
  <sheetData>
    <row r="1" spans="1:31" ht="18.75" x14ac:dyDescent="0.25">
      <c r="A1" s="1"/>
    </row>
    <row r="2" spans="1:31" s="3" customFormat="1" ht="37.5" customHeight="1" x14ac:dyDescent="0.15">
      <c r="A2" s="120" t="s">
        <v>39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</row>
    <row r="3" spans="1:31" s="3" customFormat="1" ht="22.5" customHeight="1" x14ac:dyDescent="0.15">
      <c r="A3" s="4" t="s">
        <v>49</v>
      </c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s="8" customFormat="1" ht="31.5" customHeight="1" x14ac:dyDescent="0.15">
      <c r="A4" s="125" t="s">
        <v>8</v>
      </c>
      <c r="B4" s="133" t="s">
        <v>13</v>
      </c>
      <c r="C4" s="135" t="s">
        <v>14</v>
      </c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6"/>
      <c r="T4" s="130" t="s">
        <v>11</v>
      </c>
      <c r="U4" s="131"/>
      <c r="V4" s="131"/>
      <c r="W4" s="132"/>
    </row>
    <row r="5" spans="1:31" s="8" customFormat="1" ht="31.5" customHeight="1" x14ac:dyDescent="0.15">
      <c r="A5" s="126"/>
      <c r="B5" s="134"/>
      <c r="C5" s="118" t="s">
        <v>5</v>
      </c>
      <c r="D5" s="113" t="s">
        <v>2</v>
      </c>
      <c r="E5" s="114" t="s">
        <v>16</v>
      </c>
      <c r="F5" s="137" t="s">
        <v>18</v>
      </c>
      <c r="G5" s="138"/>
      <c r="H5" s="139"/>
      <c r="I5" s="137" t="s">
        <v>19</v>
      </c>
      <c r="J5" s="138"/>
      <c r="K5" s="138"/>
      <c r="L5" s="138"/>
      <c r="M5" s="123" t="s">
        <v>4</v>
      </c>
      <c r="N5" s="123"/>
      <c r="O5" s="123"/>
      <c r="P5" s="123" t="s">
        <v>6</v>
      </c>
      <c r="Q5" s="123"/>
      <c r="R5" s="123"/>
      <c r="S5" s="124"/>
      <c r="T5" s="121" t="s">
        <v>5</v>
      </c>
      <c r="U5" s="127" t="s">
        <v>6</v>
      </c>
      <c r="V5" s="128"/>
      <c r="W5" s="129"/>
    </row>
    <row r="6" spans="1:31" s="8" customFormat="1" ht="159.75" customHeight="1" x14ac:dyDescent="0.15">
      <c r="A6" s="126"/>
      <c r="B6" s="134"/>
      <c r="C6" s="119"/>
      <c r="D6" s="92" t="s">
        <v>42</v>
      </c>
      <c r="E6" s="115" t="s">
        <v>38</v>
      </c>
      <c r="F6" s="70" t="s">
        <v>17</v>
      </c>
      <c r="G6" s="67" t="s">
        <v>27</v>
      </c>
      <c r="H6" s="67" t="s">
        <v>43</v>
      </c>
      <c r="I6" s="70" t="s">
        <v>26</v>
      </c>
      <c r="J6" s="67" t="s">
        <v>44</v>
      </c>
      <c r="K6" s="69" t="s">
        <v>33</v>
      </c>
      <c r="L6" s="69" t="s">
        <v>34</v>
      </c>
      <c r="M6" s="70" t="s">
        <v>20</v>
      </c>
      <c r="N6" s="70" t="s">
        <v>22</v>
      </c>
      <c r="O6" s="70" t="s">
        <v>25</v>
      </c>
      <c r="P6" s="70" t="s">
        <v>21</v>
      </c>
      <c r="Q6" s="67" t="s">
        <v>45</v>
      </c>
      <c r="R6" s="70" t="s">
        <v>23</v>
      </c>
      <c r="S6" s="68" t="s">
        <v>24</v>
      </c>
      <c r="T6" s="122"/>
      <c r="U6" s="38" t="s">
        <v>21</v>
      </c>
      <c r="V6" s="38" t="s">
        <v>23</v>
      </c>
      <c r="W6" s="52" t="s">
        <v>24</v>
      </c>
    </row>
    <row r="7" spans="1:31" s="9" customFormat="1" ht="45" customHeight="1" x14ac:dyDescent="0.15">
      <c r="A7" s="12" t="s">
        <v>7</v>
      </c>
      <c r="B7" s="13">
        <f>B8+B12</f>
        <v>116</v>
      </c>
      <c r="C7" s="90">
        <f>C8+C12</f>
        <v>116</v>
      </c>
      <c r="D7" s="90">
        <f t="shared" ref="D7:R7" si="0">SUM(D8+D12)</f>
        <v>1</v>
      </c>
      <c r="E7" s="90">
        <f t="shared" si="0"/>
        <v>6</v>
      </c>
      <c r="F7" s="90">
        <f>F8+F12</f>
        <v>23</v>
      </c>
      <c r="G7" s="90">
        <f t="shared" si="0"/>
        <v>2</v>
      </c>
      <c r="H7" s="90">
        <f t="shared" si="0"/>
        <v>5</v>
      </c>
      <c r="I7" s="90">
        <f t="shared" si="0"/>
        <v>15</v>
      </c>
      <c r="J7" s="90">
        <v>5</v>
      </c>
      <c r="K7" s="90">
        <f t="shared" si="0"/>
        <v>1</v>
      </c>
      <c r="L7" s="90">
        <f t="shared" si="0"/>
        <v>1</v>
      </c>
      <c r="M7" s="90">
        <f t="shared" si="0"/>
        <v>26</v>
      </c>
      <c r="N7" s="90">
        <f>SUM(N8+N12)</f>
        <v>1</v>
      </c>
      <c r="O7" s="90">
        <f t="shared" si="0"/>
        <v>1</v>
      </c>
      <c r="P7" s="90">
        <f t="shared" si="0"/>
        <v>18</v>
      </c>
      <c r="Q7" s="90">
        <v>5</v>
      </c>
      <c r="R7" s="90">
        <f t="shared" si="0"/>
        <v>3</v>
      </c>
      <c r="S7" s="91">
        <f>SUM(S8+S12)</f>
        <v>3</v>
      </c>
      <c r="T7" s="48">
        <f>SUM(T8,T12)</f>
        <v>0</v>
      </c>
      <c r="U7" s="14">
        <f>SUM(U8,U12)</f>
        <v>0</v>
      </c>
      <c r="V7" s="14">
        <f>SUM(V8,V12)</f>
        <v>0</v>
      </c>
      <c r="W7" s="39">
        <f>SUM(W8,W12)</f>
        <v>0</v>
      </c>
    </row>
    <row r="8" spans="1:31" s="10" customFormat="1" ht="45" customHeight="1" x14ac:dyDescent="0.15">
      <c r="A8" s="16" t="s">
        <v>12</v>
      </c>
      <c r="B8" s="31">
        <f>SUM(B9:B11)</f>
        <v>38</v>
      </c>
      <c r="C8" s="95">
        <f>SUM(D8:S8)</f>
        <v>38</v>
      </c>
      <c r="D8" s="86">
        <f t="shared" ref="D8:I8" si="1">SUM(D9:D11)</f>
        <v>1</v>
      </c>
      <c r="E8" s="86">
        <f t="shared" si="1"/>
        <v>2</v>
      </c>
      <c r="F8" s="86">
        <f t="shared" si="1"/>
        <v>6</v>
      </c>
      <c r="G8" s="86">
        <f t="shared" si="1"/>
        <v>2</v>
      </c>
      <c r="H8" s="86">
        <f t="shared" si="1"/>
        <v>1</v>
      </c>
      <c r="I8" s="86">
        <f t="shared" si="1"/>
        <v>7</v>
      </c>
      <c r="J8" s="86">
        <v>1</v>
      </c>
      <c r="K8" s="86">
        <f t="shared" ref="K8:M8" si="2">SUM(K9:K11)</f>
        <v>1</v>
      </c>
      <c r="L8" s="86">
        <f>SUM(L9:L11)</f>
        <v>1</v>
      </c>
      <c r="M8" s="86">
        <f t="shared" si="2"/>
        <v>7</v>
      </c>
      <c r="N8" s="86">
        <f t="shared" ref="N8:W8" si="3">SUM(N9:N11)</f>
        <v>0</v>
      </c>
      <c r="O8" s="86">
        <f t="shared" si="3"/>
        <v>1</v>
      </c>
      <c r="P8" s="86">
        <f t="shared" si="3"/>
        <v>6</v>
      </c>
      <c r="Q8" s="86">
        <v>1</v>
      </c>
      <c r="R8" s="86">
        <f t="shared" si="3"/>
        <v>0</v>
      </c>
      <c r="S8" s="87">
        <f t="shared" si="3"/>
        <v>1</v>
      </c>
      <c r="T8" s="49">
        <f t="shared" si="3"/>
        <v>0</v>
      </c>
      <c r="U8" s="17">
        <f t="shared" si="3"/>
        <v>0</v>
      </c>
      <c r="V8" s="17">
        <f t="shared" si="3"/>
        <v>0</v>
      </c>
      <c r="W8" s="18">
        <f t="shared" si="3"/>
        <v>0</v>
      </c>
    </row>
    <row r="9" spans="1:31" s="10" customFormat="1" ht="45" customHeight="1" x14ac:dyDescent="0.15">
      <c r="A9" s="93" t="s">
        <v>41</v>
      </c>
      <c r="B9" s="32">
        <f t="shared" ref="B9:B16" si="4">SUM(C9+T9)</f>
        <v>13</v>
      </c>
      <c r="C9" s="96">
        <f>SUM(D9:S9)</f>
        <v>13</v>
      </c>
      <c r="D9" s="60">
        <v>1</v>
      </c>
      <c r="E9" s="60">
        <v>0</v>
      </c>
      <c r="F9" s="60">
        <v>2</v>
      </c>
      <c r="G9" s="60">
        <v>1</v>
      </c>
      <c r="H9" s="60"/>
      <c r="I9" s="60">
        <v>2</v>
      </c>
      <c r="J9" s="60"/>
      <c r="K9" s="60">
        <v>1</v>
      </c>
      <c r="L9" s="60">
        <v>1</v>
      </c>
      <c r="M9" s="77">
        <v>1</v>
      </c>
      <c r="N9" s="60"/>
      <c r="O9" s="60"/>
      <c r="P9" s="60">
        <v>3</v>
      </c>
      <c r="Q9" s="60"/>
      <c r="R9" s="60"/>
      <c r="S9" s="74">
        <v>1</v>
      </c>
      <c r="T9" s="44">
        <f>SUM(U9:W9)</f>
        <v>0</v>
      </c>
      <c r="U9" s="20"/>
      <c r="V9" s="20"/>
      <c r="W9" s="21"/>
    </row>
    <row r="10" spans="1:31" s="10" customFormat="1" ht="45" customHeight="1" x14ac:dyDescent="0.15">
      <c r="A10" s="19" t="s">
        <v>40</v>
      </c>
      <c r="B10" s="32">
        <f t="shared" si="4"/>
        <v>14</v>
      </c>
      <c r="C10" s="96">
        <f>SUM(D10:S10)</f>
        <v>14</v>
      </c>
      <c r="D10" s="60"/>
      <c r="E10" s="60">
        <v>1</v>
      </c>
      <c r="F10" s="60">
        <v>1</v>
      </c>
      <c r="G10" s="60">
        <v>1</v>
      </c>
      <c r="H10" s="60">
        <v>1</v>
      </c>
      <c r="I10" s="60">
        <v>2</v>
      </c>
      <c r="J10" s="60">
        <v>1</v>
      </c>
      <c r="K10" s="60"/>
      <c r="L10" s="60"/>
      <c r="M10" s="60">
        <v>4</v>
      </c>
      <c r="N10" s="60"/>
      <c r="O10" s="60">
        <v>1</v>
      </c>
      <c r="P10" s="77">
        <v>1</v>
      </c>
      <c r="Q10" s="60">
        <v>1</v>
      </c>
      <c r="R10" s="77"/>
      <c r="S10" s="74"/>
      <c r="T10" s="44">
        <f>SUM(U10:W10)</f>
        <v>0</v>
      </c>
      <c r="U10" s="20"/>
      <c r="V10" s="20"/>
      <c r="W10" s="21"/>
    </row>
    <row r="11" spans="1:31" s="10" customFormat="1" ht="45" customHeight="1" x14ac:dyDescent="0.15">
      <c r="A11" s="22" t="s">
        <v>28</v>
      </c>
      <c r="B11" s="33">
        <f t="shared" si="4"/>
        <v>11</v>
      </c>
      <c r="C11" s="97">
        <f t="shared" ref="C11:C16" si="5">SUM(D11:S11)</f>
        <v>11</v>
      </c>
      <c r="D11" s="61"/>
      <c r="E11" s="61">
        <v>1</v>
      </c>
      <c r="F11" s="61">
        <v>3</v>
      </c>
      <c r="G11" s="61"/>
      <c r="H11" s="61"/>
      <c r="I11" s="61">
        <v>3</v>
      </c>
      <c r="J11" s="61"/>
      <c r="K11" s="61"/>
      <c r="L11" s="61"/>
      <c r="M11" s="61">
        <v>2</v>
      </c>
      <c r="N11" s="61"/>
      <c r="O11" s="61"/>
      <c r="P11" s="81">
        <v>2</v>
      </c>
      <c r="Q11" s="61"/>
      <c r="R11" s="81"/>
      <c r="S11" s="83"/>
      <c r="T11" s="50">
        <f>SUM(U11:W11)</f>
        <v>0</v>
      </c>
      <c r="U11" s="24"/>
      <c r="V11" s="24"/>
      <c r="W11" s="25"/>
    </row>
    <row r="12" spans="1:31" s="10" customFormat="1" ht="45" customHeight="1" x14ac:dyDescent="0.15">
      <c r="A12" s="26" t="s">
        <v>10</v>
      </c>
      <c r="B12" s="34">
        <f t="shared" si="4"/>
        <v>78</v>
      </c>
      <c r="C12" s="116">
        <f t="shared" si="5"/>
        <v>78</v>
      </c>
      <c r="D12" s="103">
        <f>SUM(D13:D16)</f>
        <v>0</v>
      </c>
      <c r="E12" s="103">
        <v>4</v>
      </c>
      <c r="F12" s="103">
        <v>17</v>
      </c>
      <c r="G12" s="103">
        <f>SUM(G13:G16)</f>
        <v>0</v>
      </c>
      <c r="H12" s="103">
        <f>SUM(H13:H16)</f>
        <v>4</v>
      </c>
      <c r="I12" s="103">
        <f>SUM(I13:I16)</f>
        <v>8</v>
      </c>
      <c r="J12" s="103">
        <f t="shared" ref="J12:L12" si="6">SUM(J13:J16)</f>
        <v>4</v>
      </c>
      <c r="K12" s="103">
        <f t="shared" si="6"/>
        <v>0</v>
      </c>
      <c r="L12" s="103">
        <f t="shared" si="6"/>
        <v>0</v>
      </c>
      <c r="M12" s="103">
        <f t="shared" ref="M12:W12" si="7">SUM(M13:M16)</f>
        <v>19</v>
      </c>
      <c r="N12" s="103">
        <f t="shared" si="7"/>
        <v>1</v>
      </c>
      <c r="O12" s="103">
        <f t="shared" si="7"/>
        <v>0</v>
      </c>
      <c r="P12" s="103">
        <f t="shared" si="7"/>
        <v>12</v>
      </c>
      <c r="Q12" s="103">
        <f t="shared" si="7"/>
        <v>4</v>
      </c>
      <c r="R12" s="103">
        <f t="shared" si="7"/>
        <v>3</v>
      </c>
      <c r="S12" s="105">
        <f t="shared" si="7"/>
        <v>2</v>
      </c>
      <c r="T12" s="51">
        <f t="shared" si="7"/>
        <v>0</v>
      </c>
      <c r="U12" s="17">
        <f t="shared" si="7"/>
        <v>0</v>
      </c>
      <c r="V12" s="17">
        <f t="shared" si="7"/>
        <v>0</v>
      </c>
      <c r="W12" s="18">
        <f t="shared" si="7"/>
        <v>0</v>
      </c>
    </row>
    <row r="13" spans="1:31" s="10" customFormat="1" ht="45" customHeight="1" x14ac:dyDescent="0.15">
      <c r="A13" s="19" t="s">
        <v>29</v>
      </c>
      <c r="B13" s="32">
        <f t="shared" si="4"/>
        <v>18</v>
      </c>
      <c r="C13" s="96">
        <f t="shared" si="5"/>
        <v>18</v>
      </c>
      <c r="D13" s="60"/>
      <c r="E13" s="60">
        <v>1</v>
      </c>
      <c r="F13" s="60">
        <v>4</v>
      </c>
      <c r="G13" s="60"/>
      <c r="H13" s="60">
        <v>1</v>
      </c>
      <c r="I13" s="77">
        <v>1</v>
      </c>
      <c r="J13" s="77">
        <v>1</v>
      </c>
      <c r="K13" s="77"/>
      <c r="L13" s="77"/>
      <c r="M13" s="60">
        <v>5</v>
      </c>
      <c r="N13" s="60"/>
      <c r="O13" s="60"/>
      <c r="P13" s="60">
        <v>2</v>
      </c>
      <c r="Q13" s="77">
        <v>1</v>
      </c>
      <c r="R13" s="60">
        <v>1</v>
      </c>
      <c r="S13" s="74">
        <v>1</v>
      </c>
      <c r="T13" s="43">
        <f>SUM(U13:W13)</f>
        <v>0</v>
      </c>
      <c r="U13" s="27"/>
      <c r="V13" s="27"/>
      <c r="W13" s="28"/>
    </row>
    <row r="14" spans="1:31" s="10" customFormat="1" ht="45" customHeight="1" x14ac:dyDescent="0.15">
      <c r="A14" s="19" t="s">
        <v>30</v>
      </c>
      <c r="B14" s="32">
        <f t="shared" si="4"/>
        <v>19</v>
      </c>
      <c r="C14" s="96">
        <f t="shared" si="5"/>
        <v>19</v>
      </c>
      <c r="D14" s="60"/>
      <c r="E14" s="60">
        <v>1</v>
      </c>
      <c r="F14" s="60">
        <v>4</v>
      </c>
      <c r="G14" s="60"/>
      <c r="H14" s="60">
        <v>1</v>
      </c>
      <c r="I14" s="77">
        <v>2</v>
      </c>
      <c r="J14" s="77">
        <v>1</v>
      </c>
      <c r="K14" s="77"/>
      <c r="L14" s="77"/>
      <c r="M14" s="77">
        <v>5</v>
      </c>
      <c r="N14" s="60"/>
      <c r="O14" s="60"/>
      <c r="P14" s="60">
        <v>2</v>
      </c>
      <c r="Q14" s="77">
        <v>1</v>
      </c>
      <c r="R14" s="60">
        <v>1</v>
      </c>
      <c r="S14" s="74">
        <v>1</v>
      </c>
      <c r="T14" s="43">
        <f>SUM(U14:W14)</f>
        <v>0</v>
      </c>
      <c r="U14" s="20"/>
      <c r="V14" s="20"/>
      <c r="W14" s="21"/>
    </row>
    <row r="15" spans="1:31" s="10" customFormat="1" ht="45" customHeight="1" x14ac:dyDescent="0.15">
      <c r="A15" s="19" t="s">
        <v>31</v>
      </c>
      <c r="B15" s="32">
        <f t="shared" si="4"/>
        <v>17</v>
      </c>
      <c r="C15" s="96">
        <f t="shared" si="5"/>
        <v>17</v>
      </c>
      <c r="D15" s="60"/>
      <c r="E15" s="60">
        <v>1</v>
      </c>
      <c r="F15" s="60">
        <v>4</v>
      </c>
      <c r="G15" s="60"/>
      <c r="H15" s="60">
        <v>1</v>
      </c>
      <c r="I15" s="77">
        <v>1</v>
      </c>
      <c r="J15" s="77">
        <v>1</v>
      </c>
      <c r="K15" s="77"/>
      <c r="L15" s="77"/>
      <c r="M15" s="60">
        <v>3</v>
      </c>
      <c r="N15" s="60">
        <v>1</v>
      </c>
      <c r="O15" s="60"/>
      <c r="P15" s="77">
        <v>3</v>
      </c>
      <c r="Q15" s="77">
        <v>1</v>
      </c>
      <c r="R15" s="117">
        <v>1</v>
      </c>
      <c r="S15" s="74"/>
      <c r="T15" s="43">
        <f>SUM(U15:W15)</f>
        <v>0</v>
      </c>
      <c r="U15" s="20"/>
      <c r="V15" s="27"/>
      <c r="W15" s="21"/>
    </row>
    <row r="16" spans="1:31" s="10" customFormat="1" ht="45" customHeight="1" x14ac:dyDescent="0.15">
      <c r="A16" s="22" t="s">
        <v>32</v>
      </c>
      <c r="B16" s="33">
        <f t="shared" si="4"/>
        <v>24</v>
      </c>
      <c r="C16" s="97">
        <f t="shared" si="5"/>
        <v>24</v>
      </c>
      <c r="D16" s="61"/>
      <c r="E16" s="61">
        <v>1</v>
      </c>
      <c r="F16" s="61">
        <v>5</v>
      </c>
      <c r="G16" s="61"/>
      <c r="H16" s="61">
        <v>1</v>
      </c>
      <c r="I16" s="61">
        <v>4</v>
      </c>
      <c r="J16" s="61">
        <v>1</v>
      </c>
      <c r="K16" s="61"/>
      <c r="L16" s="61"/>
      <c r="M16" s="61">
        <v>6</v>
      </c>
      <c r="N16" s="81"/>
      <c r="O16" s="81"/>
      <c r="P16" s="61">
        <v>5</v>
      </c>
      <c r="Q16" s="61">
        <v>1</v>
      </c>
      <c r="R16" s="61"/>
      <c r="S16" s="83"/>
      <c r="T16" s="45">
        <f>SUM(U16:W16)</f>
        <v>0</v>
      </c>
      <c r="U16" s="23"/>
      <c r="V16" s="23"/>
      <c r="W16" s="29"/>
    </row>
    <row r="17" s="11" customFormat="1" ht="14.25" x14ac:dyDescent="0.15"/>
    <row r="18" s="11" customFormat="1" ht="14.25" x14ac:dyDescent="0.15"/>
    <row r="19" s="11" customFormat="1" ht="14.25" x14ac:dyDescent="0.15"/>
    <row r="20" s="11" customFormat="1" ht="14.25" x14ac:dyDescent="0.15"/>
    <row r="21" s="11" customFormat="1" ht="35.1" customHeight="1" x14ac:dyDescent="0.15"/>
    <row r="22" s="11" customFormat="1" ht="14.25" x14ac:dyDescent="0.15"/>
    <row r="23" s="11" customFormat="1" ht="14.25" x14ac:dyDescent="0.15"/>
    <row r="24" s="11" customFormat="1" ht="14.25" x14ac:dyDescent="0.15"/>
    <row r="25" s="11" customFormat="1" ht="14.25" x14ac:dyDescent="0.15"/>
    <row r="26" s="11" customFormat="1" ht="14.25" x14ac:dyDescent="0.15"/>
    <row r="27" s="11" customFormat="1" ht="14.25" x14ac:dyDescent="0.15"/>
    <row r="28" s="11" customFormat="1" ht="14.25" x14ac:dyDescent="0.15"/>
    <row r="29" s="11" customFormat="1" ht="14.25" x14ac:dyDescent="0.15"/>
    <row r="30" s="11" customFormat="1" ht="14.25" x14ac:dyDescent="0.15"/>
    <row r="31" s="11" customFormat="1" ht="14.25" x14ac:dyDescent="0.15"/>
    <row r="32" s="11" customFormat="1" ht="14.25" x14ac:dyDescent="0.15"/>
    <row r="33" s="11" customFormat="1" ht="14.25" x14ac:dyDescent="0.15"/>
    <row r="34" s="11" customFormat="1" ht="14.25" x14ac:dyDescent="0.15"/>
    <row r="35" s="11" customFormat="1" ht="14.25" x14ac:dyDescent="0.15"/>
    <row r="36" s="11" customFormat="1" ht="14.25" x14ac:dyDescent="0.15"/>
    <row r="37" s="11" customFormat="1" ht="14.25" x14ac:dyDescent="0.15"/>
    <row r="38" s="11" customFormat="1" ht="14.25" x14ac:dyDescent="0.15"/>
    <row r="39" s="11" customFormat="1" ht="14.25" x14ac:dyDescent="0.15"/>
    <row r="40" s="11" customFormat="1" ht="14.25" x14ac:dyDescent="0.15"/>
    <row r="41" s="11" customFormat="1" ht="14.25" x14ac:dyDescent="0.15"/>
    <row r="42" s="11" customFormat="1" ht="14.25" x14ac:dyDescent="0.15"/>
    <row r="43" s="11" customFormat="1" ht="14.25" x14ac:dyDescent="0.15"/>
    <row r="44" s="11" customFormat="1" ht="14.25" x14ac:dyDescent="0.15"/>
    <row r="45" s="11" customFormat="1" ht="14.25" x14ac:dyDescent="0.15"/>
    <row r="46" s="11" customFormat="1" ht="14.25" x14ac:dyDescent="0.15"/>
    <row r="47" s="11" customFormat="1" ht="14.25" x14ac:dyDescent="0.15"/>
    <row r="48" s="11" customFormat="1" ht="14.25" x14ac:dyDescent="0.15"/>
    <row r="49" s="11" customFormat="1" ht="14.25" x14ac:dyDescent="0.15"/>
    <row r="50" s="11" customFormat="1" ht="14.25" x14ac:dyDescent="0.15"/>
    <row r="51" s="11" customFormat="1" ht="14.25" x14ac:dyDescent="0.15"/>
    <row r="52" s="11" customFormat="1" ht="14.25" x14ac:dyDescent="0.15"/>
    <row r="53" s="11" customFormat="1" ht="14.25" x14ac:dyDescent="0.15"/>
    <row r="54" s="11" customFormat="1" ht="14.25" x14ac:dyDescent="0.15"/>
    <row r="55" s="11" customFormat="1" ht="14.25" x14ac:dyDescent="0.15"/>
    <row r="56" s="11" customFormat="1" ht="14.25" x14ac:dyDescent="0.15"/>
    <row r="57" s="11" customFormat="1" ht="14.25" x14ac:dyDescent="0.15"/>
    <row r="58" s="11" customFormat="1" ht="14.25" x14ac:dyDescent="0.15"/>
    <row r="59" s="11" customFormat="1" ht="14.25" x14ac:dyDescent="0.15"/>
    <row r="60" s="11" customFormat="1" ht="14.25" x14ac:dyDescent="0.15"/>
    <row r="61" s="11" customFormat="1" ht="14.25" x14ac:dyDescent="0.15"/>
    <row r="62" s="11" customFormat="1" ht="14.25" x14ac:dyDescent="0.15"/>
    <row r="63" s="11" customFormat="1" ht="14.25" x14ac:dyDescent="0.15"/>
    <row r="64" s="11" customFormat="1" ht="14.25" x14ac:dyDescent="0.15"/>
    <row r="65" s="11" customFormat="1" ht="14.25" x14ac:dyDescent="0.15"/>
    <row r="66" s="11" customFormat="1" ht="14.25" x14ac:dyDescent="0.15"/>
    <row r="67" s="11" customFormat="1" ht="14.25" x14ac:dyDescent="0.15"/>
    <row r="68" s="11" customFormat="1" ht="14.25" x14ac:dyDescent="0.15"/>
    <row r="69" s="11" customFormat="1" ht="14.25" x14ac:dyDescent="0.15"/>
    <row r="70" s="11" customFormat="1" ht="14.25" x14ac:dyDescent="0.15"/>
    <row r="71" s="11" customFormat="1" ht="14.25" x14ac:dyDescent="0.15"/>
    <row r="72" s="11" customFormat="1" ht="14.25" x14ac:dyDescent="0.15"/>
    <row r="73" s="11" customFormat="1" ht="14.25" x14ac:dyDescent="0.15"/>
    <row r="74" s="11" customFormat="1" ht="14.25" x14ac:dyDescent="0.15"/>
    <row r="75" s="11" customFormat="1" ht="14.25" x14ac:dyDescent="0.15"/>
    <row r="76" s="11" customFormat="1" ht="14.25" x14ac:dyDescent="0.15"/>
    <row r="77" s="11" customFormat="1" ht="14.25" x14ac:dyDescent="0.15"/>
    <row r="78" s="11" customFormat="1" ht="14.25" x14ac:dyDescent="0.15"/>
    <row r="79" s="11" customFormat="1" ht="14.25" x14ac:dyDescent="0.15"/>
    <row r="80" s="11" customFormat="1" ht="14.25" x14ac:dyDescent="0.15"/>
    <row r="81" s="11" customFormat="1" ht="14.25" x14ac:dyDescent="0.15"/>
    <row r="82" s="11" customFormat="1" ht="14.25" x14ac:dyDescent="0.15"/>
    <row r="83" s="11" customFormat="1" ht="14.25" x14ac:dyDescent="0.15"/>
    <row r="84" s="11" customFormat="1" ht="14.25" x14ac:dyDescent="0.15"/>
    <row r="85" s="11" customFormat="1" ht="14.25" x14ac:dyDescent="0.15"/>
    <row r="86" s="11" customFormat="1" ht="14.25" x14ac:dyDescent="0.15"/>
    <row r="87" s="11" customFormat="1" ht="14.25" x14ac:dyDescent="0.15"/>
  </sheetData>
  <mergeCells count="12">
    <mergeCell ref="C5:C6"/>
    <mergeCell ref="A2:W2"/>
    <mergeCell ref="T5:T6"/>
    <mergeCell ref="M5:O5"/>
    <mergeCell ref="P5:S5"/>
    <mergeCell ref="A4:A6"/>
    <mergeCell ref="U5:W5"/>
    <mergeCell ref="T4:W4"/>
    <mergeCell ref="B4:B6"/>
    <mergeCell ref="C4:S4"/>
    <mergeCell ref="F5:H5"/>
    <mergeCell ref="I5:L5"/>
  </mergeCells>
  <phoneticPr fontId="15" type="noConversion"/>
  <pageMargins left="0.23622047244094491" right="0.19685039370078741" top="0.98425196850393704" bottom="0.98425196850393704" header="0.51181102362204722" footer="0.51181102362204722"/>
  <pageSetup paperSize="9" scale="5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35F26-17EE-479A-8F2A-C9784AD69018}">
  <sheetPr>
    <pageSetUpPr fitToPage="1"/>
  </sheetPr>
  <dimension ref="A1:AF87"/>
  <sheetViews>
    <sheetView tabSelected="1" view="pageBreakPreview" zoomScale="70" zoomScaleNormal="100" zoomScaleSheetLayoutView="70" workbookViewId="0">
      <pane xSplit="5" ySplit="6" topLeftCell="F7" activePane="bottomRight" state="frozen"/>
      <selection activeCell="E7" sqref="E7"/>
      <selection pane="topRight" activeCell="E7" sqref="E7"/>
      <selection pane="bottomLeft" activeCell="E7" sqref="E7"/>
      <selection pane="bottomRight" activeCell="L23" sqref="L23"/>
    </sheetView>
  </sheetViews>
  <sheetFormatPr defaultRowHeight="13.5" x14ac:dyDescent="0.15"/>
  <cols>
    <col min="1" max="1" width="22.44140625" style="2" customWidth="1"/>
    <col min="2" max="2" width="9.33203125" style="2" customWidth="1"/>
    <col min="3" max="3" width="11.77734375" style="2" customWidth="1"/>
    <col min="4" max="22" width="8.77734375" style="2" customWidth="1"/>
    <col min="23" max="26" width="9.33203125" style="2" hidden="1" customWidth="1"/>
    <col min="27" max="27" width="9.33203125" style="2" customWidth="1"/>
    <col min="28" max="16384" width="8.88671875" style="2"/>
  </cols>
  <sheetData>
    <row r="1" spans="1:32" ht="18.75" x14ac:dyDescent="0.25">
      <c r="A1" s="1"/>
    </row>
    <row r="2" spans="1:32" s="3" customFormat="1" ht="37.5" customHeight="1" x14ac:dyDescent="0.15">
      <c r="A2" s="120" t="s">
        <v>15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spans="1:32" s="3" customFormat="1" ht="22.5" customHeight="1" x14ac:dyDescent="0.15">
      <c r="A3" s="15" t="s">
        <v>46</v>
      </c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s="8" customFormat="1" ht="31.5" customHeight="1" x14ac:dyDescent="0.15">
      <c r="A4" s="125" t="s">
        <v>8</v>
      </c>
      <c r="B4" s="143" t="s">
        <v>13</v>
      </c>
      <c r="C4" s="145" t="s">
        <v>14</v>
      </c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7"/>
      <c r="U4" s="147"/>
      <c r="V4" s="148"/>
      <c r="W4" s="131" t="s">
        <v>11</v>
      </c>
      <c r="X4" s="131"/>
      <c r="Y4" s="131"/>
      <c r="Z4" s="132"/>
    </row>
    <row r="5" spans="1:32" s="8" customFormat="1" ht="31.5" customHeight="1" x14ac:dyDescent="0.15">
      <c r="A5" s="126"/>
      <c r="B5" s="144"/>
      <c r="C5" s="149" t="s">
        <v>5</v>
      </c>
      <c r="D5" s="62" t="s">
        <v>2</v>
      </c>
      <c r="E5" s="63" t="s">
        <v>16</v>
      </c>
      <c r="F5" s="151" t="s">
        <v>3</v>
      </c>
      <c r="G5" s="135"/>
      <c r="H5" s="152"/>
      <c r="I5" s="136"/>
      <c r="J5" s="153" t="s">
        <v>19</v>
      </c>
      <c r="K5" s="154"/>
      <c r="L5" s="154"/>
      <c r="M5" s="154"/>
      <c r="N5" s="155"/>
      <c r="O5" s="151" t="s">
        <v>4</v>
      </c>
      <c r="P5" s="156"/>
      <c r="Q5" s="135"/>
      <c r="R5" s="136"/>
      <c r="S5" s="151" t="s">
        <v>6</v>
      </c>
      <c r="T5" s="156"/>
      <c r="U5" s="135"/>
      <c r="V5" s="136"/>
      <c r="W5" s="140" t="s">
        <v>5</v>
      </c>
      <c r="X5" s="141" t="s">
        <v>6</v>
      </c>
      <c r="Y5" s="141"/>
      <c r="Z5" s="142"/>
    </row>
    <row r="6" spans="1:32" s="8" customFormat="1" ht="147" customHeight="1" x14ac:dyDescent="0.15">
      <c r="A6" s="126"/>
      <c r="B6" s="144"/>
      <c r="C6" s="150"/>
      <c r="D6" s="64" t="s">
        <v>42</v>
      </c>
      <c r="E6" s="65" t="s">
        <v>35</v>
      </c>
      <c r="F6" s="66" t="s">
        <v>17</v>
      </c>
      <c r="G6" s="67" t="s">
        <v>27</v>
      </c>
      <c r="H6" s="98" t="s">
        <v>43</v>
      </c>
      <c r="I6" s="157" t="s">
        <v>36</v>
      </c>
      <c r="J6" s="66" t="s">
        <v>26</v>
      </c>
      <c r="K6" s="67" t="s">
        <v>44</v>
      </c>
      <c r="L6" s="69" t="s">
        <v>33</v>
      </c>
      <c r="M6" s="69" t="s">
        <v>34</v>
      </c>
      <c r="N6" s="68" t="s">
        <v>37</v>
      </c>
      <c r="O6" s="66" t="s">
        <v>20</v>
      </c>
      <c r="P6" s="111" t="s">
        <v>47</v>
      </c>
      <c r="Q6" s="70" t="s">
        <v>22</v>
      </c>
      <c r="R6" s="68" t="s">
        <v>25</v>
      </c>
      <c r="S6" s="66" t="s">
        <v>21</v>
      </c>
      <c r="T6" s="67" t="s">
        <v>45</v>
      </c>
      <c r="U6" s="70" t="s">
        <v>23</v>
      </c>
      <c r="V6" s="157" t="s">
        <v>24</v>
      </c>
      <c r="W6" s="140"/>
      <c r="X6" s="46" t="s">
        <v>0</v>
      </c>
      <c r="Y6" s="46" t="s">
        <v>1</v>
      </c>
      <c r="Z6" s="47" t="s">
        <v>9</v>
      </c>
    </row>
    <row r="7" spans="1:32" s="9" customFormat="1" ht="45" customHeight="1" x14ac:dyDescent="0.15">
      <c r="A7" s="30" t="s">
        <v>7</v>
      </c>
      <c r="B7" s="94">
        <f>B8+B12</f>
        <v>116</v>
      </c>
      <c r="C7" s="94">
        <f>C8+C12</f>
        <v>116</v>
      </c>
      <c r="D7" s="94">
        <f t="shared" ref="D7:V7" si="0">SUM(D8+D12)</f>
        <v>1</v>
      </c>
      <c r="E7" s="94">
        <f t="shared" si="0"/>
        <v>7</v>
      </c>
      <c r="F7" s="104">
        <f t="shared" si="0"/>
        <v>22</v>
      </c>
      <c r="G7" s="90">
        <f>SUM(G8+G12)</f>
        <v>2</v>
      </c>
      <c r="H7" s="100">
        <f t="shared" ref="H7" si="1">SUM(H8+H12)</f>
        <v>4</v>
      </c>
      <c r="I7" s="91">
        <f t="shared" si="0"/>
        <v>1</v>
      </c>
      <c r="J7" s="104">
        <f t="shared" si="0"/>
        <v>15</v>
      </c>
      <c r="K7" s="90">
        <v>5</v>
      </c>
      <c r="L7" s="90">
        <f t="shared" si="0"/>
        <v>1</v>
      </c>
      <c r="M7" s="90">
        <f>SUM(M8+M12)</f>
        <v>1</v>
      </c>
      <c r="N7" s="91">
        <f t="shared" si="0"/>
        <v>1</v>
      </c>
      <c r="O7" s="104">
        <f t="shared" si="0"/>
        <v>26</v>
      </c>
      <c r="P7" s="112">
        <f t="shared" si="0"/>
        <v>1</v>
      </c>
      <c r="Q7" s="90">
        <f t="shared" si="0"/>
        <v>1</v>
      </c>
      <c r="R7" s="91">
        <f t="shared" si="0"/>
        <v>1</v>
      </c>
      <c r="S7" s="104">
        <f t="shared" si="0"/>
        <v>18</v>
      </c>
      <c r="T7" s="90">
        <v>5</v>
      </c>
      <c r="U7" s="90">
        <f t="shared" si="0"/>
        <v>2</v>
      </c>
      <c r="V7" s="91">
        <f t="shared" si="0"/>
        <v>2</v>
      </c>
      <c r="W7" s="42">
        <f>SUM(W8,W12)</f>
        <v>0</v>
      </c>
      <c r="X7" s="40">
        <f>SUM(X8,X12)</f>
        <v>0</v>
      </c>
      <c r="Y7" s="40">
        <f>SUM(Y8,Y12)</f>
        <v>0</v>
      </c>
      <c r="Z7" s="41">
        <f>SUM(Z8,Z12)</f>
        <v>0</v>
      </c>
    </row>
    <row r="8" spans="1:32" s="10" customFormat="1" ht="45" customHeight="1" x14ac:dyDescent="0.15">
      <c r="A8" s="16" t="s">
        <v>12</v>
      </c>
      <c r="B8" s="76">
        <f t="shared" ref="B8:B16" si="2">SUM(C8+W8)</f>
        <v>38</v>
      </c>
      <c r="C8" s="71">
        <f t="shared" ref="C8:C16" si="3">SUM(D8:V8)</f>
        <v>38</v>
      </c>
      <c r="D8" s="101">
        <f>SUM(D9:D11)</f>
        <v>1</v>
      </c>
      <c r="E8" s="101">
        <f t="shared" ref="E8:V8" si="4">SUM(E9:E11)</f>
        <v>3</v>
      </c>
      <c r="F8" s="102">
        <f t="shared" si="4"/>
        <v>5</v>
      </c>
      <c r="G8" s="103">
        <f>SUM(G9:G11)</f>
        <v>2</v>
      </c>
      <c r="H8" s="56">
        <f>SUM(H9:H11)</f>
        <v>1</v>
      </c>
      <c r="I8" s="105">
        <f t="shared" si="4"/>
        <v>1</v>
      </c>
      <c r="J8" s="102">
        <f t="shared" si="4"/>
        <v>7</v>
      </c>
      <c r="K8" s="103">
        <v>1</v>
      </c>
      <c r="L8" s="103">
        <f t="shared" si="4"/>
        <v>1</v>
      </c>
      <c r="M8" s="103">
        <f>SUM(M9:M11)</f>
        <v>1</v>
      </c>
      <c r="N8" s="105">
        <f t="shared" si="4"/>
        <v>1</v>
      </c>
      <c r="O8" s="102">
        <f t="shared" si="4"/>
        <v>7</v>
      </c>
      <c r="P8" s="102">
        <f t="shared" si="4"/>
        <v>0</v>
      </c>
      <c r="Q8" s="103">
        <f t="shared" si="4"/>
        <v>0</v>
      </c>
      <c r="R8" s="105">
        <f t="shared" si="4"/>
        <v>0</v>
      </c>
      <c r="S8" s="102">
        <f t="shared" si="4"/>
        <v>6</v>
      </c>
      <c r="T8" s="103">
        <v>1</v>
      </c>
      <c r="U8" s="103">
        <f t="shared" si="4"/>
        <v>0</v>
      </c>
      <c r="V8" s="105">
        <f t="shared" si="4"/>
        <v>0</v>
      </c>
      <c r="W8" s="43">
        <f>SUM(W9:W11)</f>
        <v>0</v>
      </c>
      <c r="X8" s="27">
        <f>SUM(X9:X11)</f>
        <v>0</v>
      </c>
      <c r="Y8" s="27">
        <f>SUM(Y9:Y11)</f>
        <v>0</v>
      </c>
      <c r="Z8" s="28">
        <f>SUM(Z9:Z11)</f>
        <v>0</v>
      </c>
    </row>
    <row r="9" spans="1:32" s="10" customFormat="1" ht="45" customHeight="1" x14ac:dyDescent="0.15">
      <c r="A9" s="93" t="s">
        <v>41</v>
      </c>
      <c r="B9" s="76">
        <f t="shared" si="2"/>
        <v>13</v>
      </c>
      <c r="C9" s="71">
        <f t="shared" si="3"/>
        <v>13</v>
      </c>
      <c r="D9" s="72">
        <v>1</v>
      </c>
      <c r="E9" s="72">
        <v>1</v>
      </c>
      <c r="F9" s="73">
        <v>1</v>
      </c>
      <c r="G9" s="60">
        <v>1</v>
      </c>
      <c r="H9" s="53"/>
      <c r="I9" s="158">
        <v>1</v>
      </c>
      <c r="J9" s="73">
        <v>2</v>
      </c>
      <c r="K9" s="60"/>
      <c r="L9" s="60">
        <v>1</v>
      </c>
      <c r="M9" s="60">
        <v>1</v>
      </c>
      <c r="N9" s="74"/>
      <c r="O9" s="75">
        <v>1</v>
      </c>
      <c r="P9" s="107"/>
      <c r="Q9" s="60"/>
      <c r="R9" s="74"/>
      <c r="S9" s="73">
        <v>3</v>
      </c>
      <c r="T9" s="60"/>
      <c r="U9" s="60"/>
      <c r="V9" s="158">
        <v>0</v>
      </c>
      <c r="W9" s="43">
        <f t="shared" ref="W9:W16" si="5">SUM(X9:Z9)</f>
        <v>0</v>
      </c>
      <c r="X9" s="20"/>
      <c r="Y9" s="20"/>
      <c r="Z9" s="21"/>
    </row>
    <row r="10" spans="1:32" s="10" customFormat="1" ht="45" customHeight="1" x14ac:dyDescent="0.15">
      <c r="A10" s="19" t="s">
        <v>40</v>
      </c>
      <c r="B10" s="76">
        <f t="shared" si="2"/>
        <v>14</v>
      </c>
      <c r="C10" s="76">
        <f t="shared" si="3"/>
        <v>14</v>
      </c>
      <c r="D10" s="72"/>
      <c r="E10" s="72">
        <v>1</v>
      </c>
      <c r="F10" s="73">
        <v>1</v>
      </c>
      <c r="G10" s="60">
        <v>1</v>
      </c>
      <c r="H10" s="53">
        <v>1</v>
      </c>
      <c r="I10" s="74"/>
      <c r="J10" s="73">
        <v>2</v>
      </c>
      <c r="K10" s="60">
        <v>1</v>
      </c>
      <c r="L10" s="60"/>
      <c r="M10" s="60"/>
      <c r="N10" s="74">
        <v>1</v>
      </c>
      <c r="O10" s="106">
        <v>4</v>
      </c>
      <c r="P10" s="108"/>
      <c r="Q10" s="60"/>
      <c r="R10" s="74">
        <v>0</v>
      </c>
      <c r="S10" s="75">
        <v>1</v>
      </c>
      <c r="T10" s="60">
        <v>1</v>
      </c>
      <c r="U10" s="77"/>
      <c r="V10" s="74"/>
      <c r="W10" s="43">
        <f t="shared" si="5"/>
        <v>0</v>
      </c>
      <c r="X10" s="20"/>
      <c r="Y10" s="20"/>
      <c r="Z10" s="21"/>
    </row>
    <row r="11" spans="1:32" s="10" customFormat="1" ht="45" customHeight="1" x14ac:dyDescent="0.15">
      <c r="A11" s="22" t="s">
        <v>28</v>
      </c>
      <c r="B11" s="79">
        <f t="shared" si="2"/>
        <v>11</v>
      </c>
      <c r="C11" s="79">
        <f t="shared" si="3"/>
        <v>11</v>
      </c>
      <c r="D11" s="80"/>
      <c r="E11" s="80">
        <v>1</v>
      </c>
      <c r="F11" s="89">
        <v>3</v>
      </c>
      <c r="G11" s="61"/>
      <c r="H11" s="55"/>
      <c r="I11" s="83"/>
      <c r="J11" s="89">
        <v>3</v>
      </c>
      <c r="K11" s="61"/>
      <c r="L11" s="61"/>
      <c r="M11" s="61"/>
      <c r="N11" s="83"/>
      <c r="O11" s="89">
        <v>2</v>
      </c>
      <c r="P11" s="109"/>
      <c r="Q11" s="61"/>
      <c r="R11" s="83"/>
      <c r="S11" s="75">
        <v>2</v>
      </c>
      <c r="T11" s="61"/>
      <c r="U11" s="81"/>
      <c r="V11" s="83"/>
      <c r="W11" s="43">
        <f t="shared" si="5"/>
        <v>0</v>
      </c>
      <c r="X11" s="58"/>
      <c r="Y11" s="58"/>
      <c r="Z11" s="59"/>
    </row>
    <row r="12" spans="1:32" s="10" customFormat="1" ht="45" customHeight="1" x14ac:dyDescent="0.15">
      <c r="A12" s="26" t="s">
        <v>10</v>
      </c>
      <c r="B12" s="37">
        <f t="shared" si="2"/>
        <v>78</v>
      </c>
      <c r="C12" s="71">
        <f t="shared" si="3"/>
        <v>78</v>
      </c>
      <c r="D12" s="84">
        <f t="shared" ref="D12:K12" si="6">SUM(D13:D16)</f>
        <v>0</v>
      </c>
      <c r="E12" s="84">
        <f t="shared" si="6"/>
        <v>4</v>
      </c>
      <c r="F12" s="85">
        <f t="shared" si="6"/>
        <v>17</v>
      </c>
      <c r="G12" s="86">
        <f t="shared" si="6"/>
        <v>0</v>
      </c>
      <c r="H12" s="57">
        <f>SUM(H13:H16)</f>
        <v>3</v>
      </c>
      <c r="I12" s="87">
        <f t="shared" si="6"/>
        <v>0</v>
      </c>
      <c r="J12" s="85">
        <f t="shared" si="6"/>
        <v>8</v>
      </c>
      <c r="K12" s="57">
        <f t="shared" si="6"/>
        <v>4</v>
      </c>
      <c r="L12" s="86"/>
      <c r="M12" s="86"/>
      <c r="N12" s="87"/>
      <c r="O12" s="88">
        <f t="shared" ref="O12:V12" si="7">SUM(O13:O16)</f>
        <v>19</v>
      </c>
      <c r="P12" s="88">
        <f t="shared" si="7"/>
        <v>1</v>
      </c>
      <c r="Q12" s="86">
        <f t="shared" si="7"/>
        <v>1</v>
      </c>
      <c r="R12" s="87">
        <f t="shared" si="7"/>
        <v>1</v>
      </c>
      <c r="S12" s="85">
        <f t="shared" si="7"/>
        <v>12</v>
      </c>
      <c r="T12" s="103">
        <f t="shared" si="7"/>
        <v>4</v>
      </c>
      <c r="U12" s="86">
        <f t="shared" si="7"/>
        <v>2</v>
      </c>
      <c r="V12" s="87">
        <f t="shared" si="7"/>
        <v>2</v>
      </c>
      <c r="W12" s="49">
        <f t="shared" si="5"/>
        <v>0</v>
      </c>
      <c r="X12" s="17">
        <f>SUM(X13:X16)</f>
        <v>0</v>
      </c>
      <c r="Y12" s="17">
        <f>SUM(Y13:Y16)</f>
        <v>0</v>
      </c>
      <c r="Z12" s="18">
        <f>SUM(Z13:Z16)</f>
        <v>0</v>
      </c>
    </row>
    <row r="13" spans="1:32" s="10" customFormat="1" ht="45" customHeight="1" x14ac:dyDescent="0.15">
      <c r="A13" s="19" t="s">
        <v>29</v>
      </c>
      <c r="B13" s="35">
        <f t="shared" si="2"/>
        <v>18</v>
      </c>
      <c r="C13" s="76">
        <f t="shared" si="3"/>
        <v>18</v>
      </c>
      <c r="D13" s="72"/>
      <c r="E13" s="72">
        <v>1</v>
      </c>
      <c r="F13" s="73">
        <v>4</v>
      </c>
      <c r="G13" s="60"/>
      <c r="H13" s="53">
        <v>1</v>
      </c>
      <c r="I13" s="74"/>
      <c r="J13" s="75">
        <v>1</v>
      </c>
      <c r="K13" s="54">
        <v>1</v>
      </c>
      <c r="L13" s="77"/>
      <c r="M13" s="77"/>
      <c r="N13" s="78"/>
      <c r="O13" s="75">
        <v>5</v>
      </c>
      <c r="P13" s="107"/>
      <c r="Q13" s="60"/>
      <c r="R13" s="74">
        <v>1</v>
      </c>
      <c r="S13" s="73">
        <v>2</v>
      </c>
      <c r="T13" s="77">
        <v>1</v>
      </c>
      <c r="U13" s="60">
        <v>0</v>
      </c>
      <c r="V13" s="74">
        <v>1</v>
      </c>
      <c r="W13" s="43">
        <f t="shared" si="5"/>
        <v>0</v>
      </c>
      <c r="X13" s="27"/>
      <c r="Y13" s="27"/>
      <c r="Z13" s="28"/>
    </row>
    <row r="14" spans="1:32" s="10" customFormat="1" ht="45" customHeight="1" x14ac:dyDescent="0.15">
      <c r="A14" s="19" t="s">
        <v>30</v>
      </c>
      <c r="B14" s="35">
        <f t="shared" si="2"/>
        <v>19</v>
      </c>
      <c r="C14" s="76">
        <f t="shared" si="3"/>
        <v>19</v>
      </c>
      <c r="D14" s="72"/>
      <c r="E14" s="72">
        <v>1</v>
      </c>
      <c r="F14" s="73">
        <v>4</v>
      </c>
      <c r="G14" s="60"/>
      <c r="H14" s="53">
        <v>1</v>
      </c>
      <c r="I14" s="74">
        <v>0</v>
      </c>
      <c r="J14" s="75">
        <v>2</v>
      </c>
      <c r="K14" s="54">
        <v>1</v>
      </c>
      <c r="L14" s="77"/>
      <c r="M14" s="77"/>
      <c r="N14" s="78"/>
      <c r="O14" s="75">
        <v>5</v>
      </c>
      <c r="P14" s="107"/>
      <c r="Q14" s="60"/>
      <c r="R14" s="74"/>
      <c r="S14" s="73">
        <v>2</v>
      </c>
      <c r="T14" s="54">
        <v>1</v>
      </c>
      <c r="U14" s="60">
        <v>1</v>
      </c>
      <c r="V14" s="158">
        <v>1</v>
      </c>
      <c r="W14" s="43">
        <f t="shared" si="5"/>
        <v>0</v>
      </c>
      <c r="X14" s="20"/>
      <c r="Y14" s="20"/>
      <c r="Z14" s="21"/>
    </row>
    <row r="15" spans="1:32" s="10" customFormat="1" ht="45" customHeight="1" x14ac:dyDescent="0.15">
      <c r="A15" s="19" t="s">
        <v>31</v>
      </c>
      <c r="B15" s="35">
        <f t="shared" si="2"/>
        <v>17</v>
      </c>
      <c r="C15" s="76">
        <f t="shared" si="3"/>
        <v>17</v>
      </c>
      <c r="D15" s="72"/>
      <c r="E15" s="72">
        <v>1</v>
      </c>
      <c r="F15" s="73">
        <v>4</v>
      </c>
      <c r="G15" s="60"/>
      <c r="H15" s="99">
        <v>0</v>
      </c>
      <c r="I15" s="74"/>
      <c r="J15" s="75">
        <v>1</v>
      </c>
      <c r="K15" s="54">
        <v>1</v>
      </c>
      <c r="L15" s="77"/>
      <c r="M15" s="77"/>
      <c r="N15" s="78"/>
      <c r="O15" s="75">
        <v>3</v>
      </c>
      <c r="P15" s="110">
        <v>1</v>
      </c>
      <c r="Q15" s="60">
        <v>1</v>
      </c>
      <c r="R15" s="74"/>
      <c r="S15" s="75">
        <v>3</v>
      </c>
      <c r="T15" s="54">
        <v>1</v>
      </c>
      <c r="U15" s="60">
        <v>1</v>
      </c>
      <c r="V15" s="74"/>
      <c r="W15" s="43">
        <f t="shared" si="5"/>
        <v>0</v>
      </c>
      <c r="X15" s="20"/>
      <c r="Y15" s="27"/>
      <c r="Z15" s="21"/>
    </row>
    <row r="16" spans="1:32" s="10" customFormat="1" ht="45" customHeight="1" x14ac:dyDescent="0.15">
      <c r="A16" s="22" t="s">
        <v>32</v>
      </c>
      <c r="B16" s="36">
        <f t="shared" si="2"/>
        <v>24</v>
      </c>
      <c r="C16" s="79">
        <f t="shared" si="3"/>
        <v>24</v>
      </c>
      <c r="D16" s="80"/>
      <c r="E16" s="80">
        <v>1</v>
      </c>
      <c r="F16" s="89">
        <v>5</v>
      </c>
      <c r="G16" s="61"/>
      <c r="H16" s="55">
        <v>1</v>
      </c>
      <c r="I16" s="83"/>
      <c r="J16" s="89">
        <v>4</v>
      </c>
      <c r="K16" s="55">
        <v>1</v>
      </c>
      <c r="L16" s="61"/>
      <c r="M16" s="61"/>
      <c r="N16" s="83"/>
      <c r="O16" s="89">
        <v>6</v>
      </c>
      <c r="P16" s="109"/>
      <c r="Q16" s="81"/>
      <c r="R16" s="82"/>
      <c r="S16" s="89">
        <v>5</v>
      </c>
      <c r="T16" s="55">
        <v>1</v>
      </c>
      <c r="U16" s="61"/>
      <c r="V16" s="83"/>
      <c r="W16" s="45">
        <f t="shared" si="5"/>
        <v>0</v>
      </c>
      <c r="X16" s="23"/>
      <c r="Y16" s="23"/>
      <c r="Z16" s="29"/>
    </row>
    <row r="17" s="11" customFormat="1" ht="14.25" x14ac:dyDescent="0.15"/>
    <row r="18" s="11" customFormat="1" ht="14.25" x14ac:dyDescent="0.15"/>
    <row r="19" s="11" customFormat="1" ht="14.25" x14ac:dyDescent="0.15"/>
    <row r="20" s="11" customFormat="1" ht="14.25" x14ac:dyDescent="0.15"/>
    <row r="21" s="11" customFormat="1" ht="14.25" x14ac:dyDescent="0.15"/>
    <row r="22" s="11" customFormat="1" ht="14.25" x14ac:dyDescent="0.15"/>
    <row r="23" s="11" customFormat="1" ht="14.25" x14ac:dyDescent="0.15"/>
    <row r="24" s="11" customFormat="1" ht="14.25" x14ac:dyDescent="0.15"/>
    <row r="25" s="11" customFormat="1" ht="14.25" x14ac:dyDescent="0.15"/>
    <row r="26" s="11" customFormat="1" ht="14.25" x14ac:dyDescent="0.15"/>
    <row r="27" s="11" customFormat="1" ht="14.25" x14ac:dyDescent="0.15"/>
    <row r="28" s="11" customFormat="1" ht="14.25" x14ac:dyDescent="0.15"/>
    <row r="29" s="11" customFormat="1" ht="14.25" x14ac:dyDescent="0.15"/>
    <row r="30" s="11" customFormat="1" ht="14.25" x14ac:dyDescent="0.15"/>
    <row r="31" s="11" customFormat="1" ht="14.25" x14ac:dyDescent="0.15"/>
    <row r="32" s="11" customFormat="1" ht="14.25" x14ac:dyDescent="0.15"/>
    <row r="33" s="11" customFormat="1" ht="14.25" x14ac:dyDescent="0.15"/>
    <row r="34" s="11" customFormat="1" ht="14.25" x14ac:dyDescent="0.15"/>
    <row r="35" s="11" customFormat="1" ht="14.25" x14ac:dyDescent="0.15"/>
    <row r="36" s="11" customFormat="1" ht="14.25" x14ac:dyDescent="0.15"/>
    <row r="37" s="11" customFormat="1" ht="14.25" x14ac:dyDescent="0.15"/>
    <row r="38" s="11" customFormat="1" ht="14.25" x14ac:dyDescent="0.15"/>
    <row r="39" s="11" customFormat="1" ht="14.25" x14ac:dyDescent="0.15"/>
    <row r="40" s="11" customFormat="1" ht="14.25" x14ac:dyDescent="0.15"/>
    <row r="41" s="11" customFormat="1" ht="14.25" x14ac:dyDescent="0.15"/>
    <row r="42" s="11" customFormat="1" ht="14.25" x14ac:dyDescent="0.15"/>
    <row r="43" s="11" customFormat="1" ht="14.25" x14ac:dyDescent="0.15"/>
    <row r="44" s="11" customFormat="1" ht="14.25" x14ac:dyDescent="0.15"/>
    <row r="45" s="11" customFormat="1" ht="14.25" x14ac:dyDescent="0.15"/>
    <row r="46" s="11" customFormat="1" ht="14.25" x14ac:dyDescent="0.15"/>
    <row r="47" s="11" customFormat="1" ht="14.25" x14ac:dyDescent="0.15"/>
    <row r="48" s="11" customFormat="1" ht="14.25" x14ac:dyDescent="0.15"/>
    <row r="49" s="11" customFormat="1" ht="14.25" x14ac:dyDescent="0.15"/>
    <row r="50" s="11" customFormat="1" ht="14.25" x14ac:dyDescent="0.15"/>
    <row r="51" s="11" customFormat="1" ht="14.25" x14ac:dyDescent="0.15"/>
    <row r="52" s="11" customFormat="1" ht="14.25" x14ac:dyDescent="0.15"/>
    <row r="53" s="11" customFormat="1" ht="14.25" x14ac:dyDescent="0.15"/>
    <row r="54" s="11" customFormat="1" ht="14.25" x14ac:dyDescent="0.15"/>
    <row r="55" s="11" customFormat="1" ht="14.25" x14ac:dyDescent="0.15"/>
    <row r="56" s="11" customFormat="1" ht="14.25" x14ac:dyDescent="0.15"/>
    <row r="57" s="11" customFormat="1" ht="14.25" x14ac:dyDescent="0.15"/>
    <row r="58" s="11" customFormat="1" ht="14.25" x14ac:dyDescent="0.15"/>
    <row r="59" s="11" customFormat="1" ht="14.25" x14ac:dyDescent="0.15"/>
    <row r="60" s="11" customFormat="1" ht="14.25" x14ac:dyDescent="0.15"/>
    <row r="61" s="11" customFormat="1" ht="14.25" x14ac:dyDescent="0.15"/>
    <row r="62" s="11" customFormat="1" ht="14.25" x14ac:dyDescent="0.15"/>
    <row r="63" s="11" customFormat="1" ht="14.25" x14ac:dyDescent="0.15"/>
    <row r="64" s="11" customFormat="1" ht="14.25" x14ac:dyDescent="0.15"/>
    <row r="65" s="11" customFormat="1" ht="14.25" x14ac:dyDescent="0.15"/>
    <row r="66" s="11" customFormat="1" ht="14.25" x14ac:dyDescent="0.15"/>
    <row r="67" s="11" customFormat="1" ht="14.25" x14ac:dyDescent="0.15"/>
    <row r="68" s="11" customFormat="1" ht="14.25" x14ac:dyDescent="0.15"/>
    <row r="69" s="11" customFormat="1" ht="14.25" x14ac:dyDescent="0.15"/>
    <row r="70" s="11" customFormat="1" ht="14.25" x14ac:dyDescent="0.15"/>
    <row r="71" s="11" customFormat="1" ht="14.25" x14ac:dyDescent="0.15"/>
    <row r="72" s="11" customFormat="1" ht="14.25" x14ac:dyDescent="0.15"/>
    <row r="73" s="11" customFormat="1" ht="14.25" x14ac:dyDescent="0.15"/>
    <row r="74" s="11" customFormat="1" ht="14.25" x14ac:dyDescent="0.15"/>
    <row r="75" s="11" customFormat="1" ht="14.25" x14ac:dyDescent="0.15"/>
    <row r="76" s="11" customFormat="1" ht="14.25" x14ac:dyDescent="0.15"/>
    <row r="77" s="11" customFormat="1" ht="14.25" x14ac:dyDescent="0.15"/>
    <row r="78" s="11" customFormat="1" ht="14.25" x14ac:dyDescent="0.15"/>
    <row r="79" s="11" customFormat="1" ht="14.25" x14ac:dyDescent="0.15"/>
    <row r="80" s="11" customFormat="1" ht="14.25" x14ac:dyDescent="0.15"/>
    <row r="81" s="11" customFormat="1" ht="14.25" x14ac:dyDescent="0.15"/>
    <row r="82" s="11" customFormat="1" ht="14.25" x14ac:dyDescent="0.15"/>
    <row r="83" s="11" customFormat="1" ht="14.25" x14ac:dyDescent="0.15"/>
    <row r="84" s="11" customFormat="1" ht="14.25" x14ac:dyDescent="0.15"/>
    <row r="85" s="11" customFormat="1" ht="14.25" x14ac:dyDescent="0.15"/>
    <row r="86" s="11" customFormat="1" ht="14.25" x14ac:dyDescent="0.15"/>
    <row r="87" s="11" customFormat="1" ht="14.25" x14ac:dyDescent="0.15"/>
  </sheetData>
  <mergeCells count="12">
    <mergeCell ref="W5:W6"/>
    <mergeCell ref="X5:Z5"/>
    <mergeCell ref="A2:Z2"/>
    <mergeCell ref="A4:A6"/>
    <mergeCell ref="B4:B6"/>
    <mergeCell ref="C4:V4"/>
    <mergeCell ref="W4:Z4"/>
    <mergeCell ref="C5:C6"/>
    <mergeCell ref="F5:I5"/>
    <mergeCell ref="J5:N5"/>
    <mergeCell ref="O5:R5"/>
    <mergeCell ref="S5:V5"/>
  </mergeCells>
  <phoneticPr fontId="15" type="noConversion"/>
  <pageMargins left="0.25" right="0.25" top="0.75" bottom="0.75" header="0.3" footer="0.3"/>
  <pageSetup paperSize="9" scale="5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942E4-011F-457E-8F70-19CB7403CF34}">
  <sheetPr>
    <pageSetUpPr fitToPage="1"/>
  </sheetPr>
  <dimension ref="A1:AF87"/>
  <sheetViews>
    <sheetView view="pageBreakPreview" zoomScale="70" zoomScaleNormal="100" zoomScaleSheetLayoutView="70" workbookViewId="0">
      <pane xSplit="5" ySplit="6" topLeftCell="F7" activePane="bottomRight" state="frozen"/>
      <selection activeCell="E7" sqref="E7"/>
      <selection pane="topRight" activeCell="E7" sqref="E7"/>
      <selection pane="bottomLeft" activeCell="E7" sqref="E7"/>
      <selection pane="bottomRight" activeCell="L22" sqref="L22"/>
    </sheetView>
  </sheetViews>
  <sheetFormatPr defaultRowHeight="13.5" x14ac:dyDescent="0.15"/>
  <cols>
    <col min="1" max="1" width="22.44140625" style="2" customWidth="1"/>
    <col min="2" max="2" width="9.33203125" style="2" customWidth="1"/>
    <col min="3" max="3" width="11.77734375" style="2" customWidth="1"/>
    <col min="4" max="22" width="8.77734375" style="2" customWidth="1"/>
    <col min="23" max="26" width="9.33203125" style="2" hidden="1" customWidth="1"/>
    <col min="27" max="27" width="9.33203125" style="2" customWidth="1"/>
    <col min="28" max="16384" width="8.88671875" style="2"/>
  </cols>
  <sheetData>
    <row r="1" spans="1:32" ht="18.75" x14ac:dyDescent="0.25">
      <c r="A1" s="1"/>
    </row>
    <row r="2" spans="1:32" s="3" customFormat="1" ht="37.5" customHeight="1" x14ac:dyDescent="0.15">
      <c r="A2" s="120" t="s">
        <v>15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spans="1:32" s="3" customFormat="1" ht="22.5" customHeight="1" x14ac:dyDescent="0.15">
      <c r="A3" s="15" t="s">
        <v>48</v>
      </c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s="8" customFormat="1" ht="31.5" customHeight="1" x14ac:dyDescent="0.15">
      <c r="A4" s="125" t="s">
        <v>8</v>
      </c>
      <c r="B4" s="143" t="s">
        <v>13</v>
      </c>
      <c r="C4" s="145" t="s">
        <v>14</v>
      </c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7"/>
      <c r="U4" s="147"/>
      <c r="V4" s="148"/>
      <c r="W4" s="131" t="s">
        <v>11</v>
      </c>
      <c r="X4" s="131"/>
      <c r="Y4" s="131"/>
      <c r="Z4" s="132"/>
    </row>
    <row r="5" spans="1:32" s="8" customFormat="1" ht="31.5" customHeight="1" x14ac:dyDescent="0.15">
      <c r="A5" s="126"/>
      <c r="B5" s="144"/>
      <c r="C5" s="149" t="s">
        <v>5</v>
      </c>
      <c r="D5" s="62" t="s">
        <v>2</v>
      </c>
      <c r="E5" s="63" t="s">
        <v>16</v>
      </c>
      <c r="F5" s="151" t="s">
        <v>3</v>
      </c>
      <c r="G5" s="135"/>
      <c r="H5" s="152"/>
      <c r="I5" s="136"/>
      <c r="J5" s="153" t="s">
        <v>19</v>
      </c>
      <c r="K5" s="154"/>
      <c r="L5" s="154"/>
      <c r="M5" s="154"/>
      <c r="N5" s="155"/>
      <c r="O5" s="151" t="s">
        <v>4</v>
      </c>
      <c r="P5" s="156"/>
      <c r="Q5" s="135"/>
      <c r="R5" s="136"/>
      <c r="S5" s="151" t="s">
        <v>6</v>
      </c>
      <c r="T5" s="156"/>
      <c r="U5" s="135"/>
      <c r="V5" s="136"/>
      <c r="W5" s="140" t="s">
        <v>5</v>
      </c>
      <c r="X5" s="141" t="s">
        <v>6</v>
      </c>
      <c r="Y5" s="141"/>
      <c r="Z5" s="142"/>
    </row>
    <row r="6" spans="1:32" s="8" customFormat="1" ht="147" customHeight="1" x14ac:dyDescent="0.15">
      <c r="A6" s="126"/>
      <c r="B6" s="144"/>
      <c r="C6" s="150"/>
      <c r="D6" s="64" t="s">
        <v>42</v>
      </c>
      <c r="E6" s="65" t="s">
        <v>35</v>
      </c>
      <c r="F6" s="66" t="s">
        <v>17</v>
      </c>
      <c r="G6" s="67" t="s">
        <v>27</v>
      </c>
      <c r="H6" s="98" t="s">
        <v>43</v>
      </c>
      <c r="I6" s="68" t="s">
        <v>36</v>
      </c>
      <c r="J6" s="66" t="s">
        <v>26</v>
      </c>
      <c r="K6" s="67" t="s">
        <v>44</v>
      </c>
      <c r="L6" s="69" t="s">
        <v>33</v>
      </c>
      <c r="M6" s="69" t="s">
        <v>34</v>
      </c>
      <c r="N6" s="68" t="s">
        <v>37</v>
      </c>
      <c r="O6" s="66" t="s">
        <v>20</v>
      </c>
      <c r="P6" s="111" t="s">
        <v>47</v>
      </c>
      <c r="Q6" s="70" t="s">
        <v>22</v>
      </c>
      <c r="R6" s="68" t="s">
        <v>25</v>
      </c>
      <c r="S6" s="66" t="s">
        <v>21</v>
      </c>
      <c r="T6" s="67" t="s">
        <v>45</v>
      </c>
      <c r="U6" s="70" t="s">
        <v>23</v>
      </c>
      <c r="V6" s="68" t="s">
        <v>24</v>
      </c>
      <c r="W6" s="140"/>
      <c r="X6" s="46" t="s">
        <v>0</v>
      </c>
      <c r="Y6" s="46" t="s">
        <v>1</v>
      </c>
      <c r="Z6" s="47" t="s">
        <v>9</v>
      </c>
    </row>
    <row r="7" spans="1:32" s="9" customFormat="1" ht="45" customHeight="1" x14ac:dyDescent="0.15">
      <c r="A7" s="30" t="s">
        <v>7</v>
      </c>
      <c r="B7" s="94">
        <f>B8+B12</f>
        <v>116</v>
      </c>
      <c r="C7" s="94">
        <f>C8+C12</f>
        <v>116</v>
      </c>
      <c r="D7" s="94">
        <f t="shared" ref="D7:V7" si="0">SUM(D8+D12)</f>
        <v>1</v>
      </c>
      <c r="E7" s="94">
        <f t="shared" si="0"/>
        <v>7</v>
      </c>
      <c r="F7" s="104">
        <f t="shared" si="0"/>
        <v>22</v>
      </c>
      <c r="G7" s="90">
        <f>SUM(G8+G12)</f>
        <v>2</v>
      </c>
      <c r="H7" s="100">
        <f t="shared" ref="H7" si="1">SUM(H8+H12)</f>
        <v>5</v>
      </c>
      <c r="I7" s="91">
        <f t="shared" si="0"/>
        <v>1</v>
      </c>
      <c r="J7" s="104">
        <f t="shared" si="0"/>
        <v>15</v>
      </c>
      <c r="K7" s="90">
        <v>5</v>
      </c>
      <c r="L7" s="90">
        <f t="shared" si="0"/>
        <v>1</v>
      </c>
      <c r="M7" s="90">
        <f>SUM(M8+M12)</f>
        <v>1</v>
      </c>
      <c r="N7" s="91">
        <f t="shared" si="0"/>
        <v>1</v>
      </c>
      <c r="O7" s="104">
        <f t="shared" si="0"/>
        <v>26</v>
      </c>
      <c r="P7" s="112">
        <f t="shared" si="0"/>
        <v>0</v>
      </c>
      <c r="Q7" s="90">
        <f t="shared" si="0"/>
        <v>1</v>
      </c>
      <c r="R7" s="91">
        <f t="shared" si="0"/>
        <v>1</v>
      </c>
      <c r="S7" s="104">
        <f t="shared" si="0"/>
        <v>18</v>
      </c>
      <c r="T7" s="90">
        <v>5</v>
      </c>
      <c r="U7" s="90">
        <f t="shared" si="0"/>
        <v>2</v>
      </c>
      <c r="V7" s="91">
        <f t="shared" si="0"/>
        <v>2</v>
      </c>
      <c r="W7" s="42">
        <f>SUM(W8,W12)</f>
        <v>0</v>
      </c>
      <c r="X7" s="40">
        <f>SUM(X8,X12)</f>
        <v>0</v>
      </c>
      <c r="Y7" s="40">
        <f>SUM(Y8,Y12)</f>
        <v>0</v>
      </c>
      <c r="Z7" s="41">
        <f>SUM(Z8,Z12)</f>
        <v>0</v>
      </c>
    </row>
    <row r="8" spans="1:32" s="10" customFormat="1" ht="45" customHeight="1" x14ac:dyDescent="0.15">
      <c r="A8" s="16" t="s">
        <v>12</v>
      </c>
      <c r="B8" s="76">
        <f t="shared" ref="B8:B16" si="2">SUM(C8+W8)</f>
        <v>38</v>
      </c>
      <c r="C8" s="71">
        <f t="shared" ref="C8:C16" si="3">SUM(D8:V8)</f>
        <v>38</v>
      </c>
      <c r="D8" s="101">
        <f>SUM(D9:D11)</f>
        <v>1</v>
      </c>
      <c r="E8" s="101">
        <f t="shared" ref="E8:V8" si="4">SUM(E9:E11)</f>
        <v>3</v>
      </c>
      <c r="F8" s="102">
        <f t="shared" si="4"/>
        <v>5</v>
      </c>
      <c r="G8" s="103">
        <f>SUM(G9:G11)</f>
        <v>2</v>
      </c>
      <c r="H8" s="56">
        <f>SUM(H9:H11)</f>
        <v>1</v>
      </c>
      <c r="I8" s="105">
        <f t="shared" ref="I8" si="5">SUM(I9:I11)</f>
        <v>1</v>
      </c>
      <c r="J8" s="102">
        <f t="shared" si="4"/>
        <v>7</v>
      </c>
      <c r="K8" s="103">
        <v>1</v>
      </c>
      <c r="L8" s="103">
        <f t="shared" si="4"/>
        <v>1</v>
      </c>
      <c r="M8" s="103">
        <f>SUM(M9:M11)</f>
        <v>1</v>
      </c>
      <c r="N8" s="105">
        <f t="shared" si="4"/>
        <v>1</v>
      </c>
      <c r="O8" s="102">
        <f t="shared" si="4"/>
        <v>7</v>
      </c>
      <c r="P8" s="102">
        <f t="shared" si="4"/>
        <v>0</v>
      </c>
      <c r="Q8" s="103">
        <f t="shared" si="4"/>
        <v>0</v>
      </c>
      <c r="R8" s="105">
        <f t="shared" si="4"/>
        <v>0</v>
      </c>
      <c r="S8" s="102">
        <f t="shared" si="4"/>
        <v>6</v>
      </c>
      <c r="T8" s="103">
        <v>1</v>
      </c>
      <c r="U8" s="103">
        <f t="shared" si="4"/>
        <v>0</v>
      </c>
      <c r="V8" s="105">
        <f t="shared" si="4"/>
        <v>0</v>
      </c>
      <c r="W8" s="43">
        <f>SUM(W9:W11)</f>
        <v>0</v>
      </c>
      <c r="X8" s="27">
        <f>SUM(X9:X11)</f>
        <v>0</v>
      </c>
      <c r="Y8" s="27">
        <f>SUM(Y9:Y11)</f>
        <v>0</v>
      </c>
      <c r="Z8" s="28">
        <f>SUM(Z9:Z11)</f>
        <v>0</v>
      </c>
    </row>
    <row r="9" spans="1:32" s="10" customFormat="1" ht="45" customHeight="1" x14ac:dyDescent="0.15">
      <c r="A9" s="93" t="s">
        <v>41</v>
      </c>
      <c r="B9" s="76">
        <f t="shared" si="2"/>
        <v>13</v>
      </c>
      <c r="C9" s="71">
        <f t="shared" si="3"/>
        <v>13</v>
      </c>
      <c r="D9" s="72">
        <v>1</v>
      </c>
      <c r="E9" s="72">
        <v>1</v>
      </c>
      <c r="F9" s="73">
        <v>1</v>
      </c>
      <c r="G9" s="60">
        <v>1</v>
      </c>
      <c r="H9" s="53"/>
      <c r="I9" s="158">
        <v>1</v>
      </c>
      <c r="J9" s="73">
        <v>2</v>
      </c>
      <c r="K9" s="60"/>
      <c r="L9" s="60">
        <v>1</v>
      </c>
      <c r="M9" s="60">
        <v>1</v>
      </c>
      <c r="N9" s="74"/>
      <c r="O9" s="75">
        <v>1</v>
      </c>
      <c r="P9" s="107"/>
      <c r="Q9" s="60"/>
      <c r="R9" s="74"/>
      <c r="S9" s="73">
        <v>3</v>
      </c>
      <c r="T9" s="60"/>
      <c r="U9" s="60"/>
      <c r="V9" s="158">
        <v>0</v>
      </c>
      <c r="W9" s="43">
        <f t="shared" ref="W9:W16" si="6">SUM(X9:Z9)</f>
        <v>0</v>
      </c>
      <c r="X9" s="20"/>
      <c r="Y9" s="20"/>
      <c r="Z9" s="21"/>
    </row>
    <row r="10" spans="1:32" s="10" customFormat="1" ht="45" customHeight="1" x14ac:dyDescent="0.15">
      <c r="A10" s="19" t="s">
        <v>40</v>
      </c>
      <c r="B10" s="76">
        <f t="shared" si="2"/>
        <v>14</v>
      </c>
      <c r="C10" s="76">
        <f t="shared" si="3"/>
        <v>14</v>
      </c>
      <c r="D10" s="72"/>
      <c r="E10" s="72">
        <v>1</v>
      </c>
      <c r="F10" s="73">
        <v>1</v>
      </c>
      <c r="G10" s="60">
        <v>1</v>
      </c>
      <c r="H10" s="53">
        <v>1</v>
      </c>
      <c r="I10" s="74"/>
      <c r="J10" s="73">
        <v>2</v>
      </c>
      <c r="K10" s="60">
        <v>1</v>
      </c>
      <c r="L10" s="60"/>
      <c r="M10" s="60"/>
      <c r="N10" s="74">
        <v>1</v>
      </c>
      <c r="O10" s="73">
        <v>4</v>
      </c>
      <c r="P10" s="108"/>
      <c r="Q10" s="60"/>
      <c r="R10" s="74">
        <v>0</v>
      </c>
      <c r="S10" s="75">
        <v>1</v>
      </c>
      <c r="T10" s="60">
        <v>1</v>
      </c>
      <c r="U10" s="77"/>
      <c r="V10" s="74"/>
      <c r="W10" s="43">
        <f t="shared" si="6"/>
        <v>0</v>
      </c>
      <c r="X10" s="20"/>
      <c r="Y10" s="20"/>
      <c r="Z10" s="21"/>
    </row>
    <row r="11" spans="1:32" s="10" customFormat="1" ht="45" customHeight="1" x14ac:dyDescent="0.15">
      <c r="A11" s="22" t="s">
        <v>28</v>
      </c>
      <c r="B11" s="79">
        <f t="shared" si="2"/>
        <v>11</v>
      </c>
      <c r="C11" s="79">
        <f t="shared" si="3"/>
        <v>11</v>
      </c>
      <c r="D11" s="80"/>
      <c r="E11" s="80">
        <v>1</v>
      </c>
      <c r="F11" s="89">
        <v>3</v>
      </c>
      <c r="G11" s="61"/>
      <c r="H11" s="55"/>
      <c r="I11" s="83"/>
      <c r="J11" s="89">
        <v>3</v>
      </c>
      <c r="K11" s="61"/>
      <c r="L11" s="61"/>
      <c r="M11" s="61"/>
      <c r="N11" s="83"/>
      <c r="O11" s="89">
        <v>2</v>
      </c>
      <c r="P11" s="109"/>
      <c r="Q11" s="61"/>
      <c r="R11" s="83"/>
      <c r="S11" s="75">
        <v>2</v>
      </c>
      <c r="T11" s="61"/>
      <c r="U11" s="81"/>
      <c r="V11" s="83"/>
      <c r="W11" s="43">
        <f t="shared" si="6"/>
        <v>0</v>
      </c>
      <c r="X11" s="58"/>
      <c r="Y11" s="58"/>
      <c r="Z11" s="59"/>
    </row>
    <row r="12" spans="1:32" s="10" customFormat="1" ht="45" customHeight="1" x14ac:dyDescent="0.15">
      <c r="A12" s="26" t="s">
        <v>10</v>
      </c>
      <c r="B12" s="37">
        <f t="shared" si="2"/>
        <v>78</v>
      </c>
      <c r="C12" s="71">
        <f t="shared" si="3"/>
        <v>78</v>
      </c>
      <c r="D12" s="84">
        <f t="shared" ref="D12:K12" si="7">SUM(D13:D16)</f>
        <v>0</v>
      </c>
      <c r="E12" s="84">
        <f t="shared" si="7"/>
        <v>4</v>
      </c>
      <c r="F12" s="85">
        <f t="shared" si="7"/>
        <v>17</v>
      </c>
      <c r="G12" s="86">
        <f t="shared" si="7"/>
        <v>0</v>
      </c>
      <c r="H12" s="57">
        <f>SUM(H13:H16)</f>
        <v>4</v>
      </c>
      <c r="I12" s="87">
        <f t="shared" ref="I12" si="8">SUM(I13:I16)</f>
        <v>0</v>
      </c>
      <c r="J12" s="85">
        <f t="shared" si="7"/>
        <v>8</v>
      </c>
      <c r="K12" s="103">
        <f t="shared" si="7"/>
        <v>4</v>
      </c>
      <c r="L12" s="86"/>
      <c r="M12" s="86"/>
      <c r="N12" s="87"/>
      <c r="O12" s="88">
        <f t="shared" ref="O12:V12" si="9">SUM(O13:O16)</f>
        <v>19</v>
      </c>
      <c r="P12" s="88">
        <f t="shared" si="9"/>
        <v>0</v>
      </c>
      <c r="Q12" s="86">
        <f t="shared" si="9"/>
        <v>1</v>
      </c>
      <c r="R12" s="87">
        <f t="shared" si="9"/>
        <v>1</v>
      </c>
      <c r="S12" s="85">
        <f t="shared" si="9"/>
        <v>12</v>
      </c>
      <c r="T12" s="103">
        <f t="shared" si="9"/>
        <v>4</v>
      </c>
      <c r="U12" s="86">
        <f t="shared" si="9"/>
        <v>2</v>
      </c>
      <c r="V12" s="87">
        <f t="shared" si="9"/>
        <v>2</v>
      </c>
      <c r="W12" s="49">
        <f t="shared" si="6"/>
        <v>0</v>
      </c>
      <c r="X12" s="17">
        <f>SUM(X13:X16)</f>
        <v>0</v>
      </c>
      <c r="Y12" s="17">
        <f>SUM(Y13:Y16)</f>
        <v>0</v>
      </c>
      <c r="Z12" s="18">
        <f>SUM(Z13:Z16)</f>
        <v>0</v>
      </c>
    </row>
    <row r="13" spans="1:32" s="10" customFormat="1" ht="45" customHeight="1" x14ac:dyDescent="0.15">
      <c r="A13" s="19" t="s">
        <v>29</v>
      </c>
      <c r="B13" s="35">
        <f t="shared" si="2"/>
        <v>18</v>
      </c>
      <c r="C13" s="76">
        <f t="shared" si="3"/>
        <v>18</v>
      </c>
      <c r="D13" s="72"/>
      <c r="E13" s="72">
        <v>1</v>
      </c>
      <c r="F13" s="73">
        <v>4</v>
      </c>
      <c r="G13" s="60"/>
      <c r="H13" s="53">
        <v>1</v>
      </c>
      <c r="I13" s="74"/>
      <c r="J13" s="75">
        <v>1</v>
      </c>
      <c r="K13" s="77">
        <v>1</v>
      </c>
      <c r="L13" s="77"/>
      <c r="M13" s="77"/>
      <c r="N13" s="78"/>
      <c r="O13" s="75">
        <v>5</v>
      </c>
      <c r="P13" s="107"/>
      <c r="Q13" s="60"/>
      <c r="R13" s="74">
        <v>1</v>
      </c>
      <c r="S13" s="73">
        <v>2</v>
      </c>
      <c r="T13" s="77">
        <v>1</v>
      </c>
      <c r="U13" s="60">
        <v>0</v>
      </c>
      <c r="V13" s="74">
        <v>1</v>
      </c>
      <c r="W13" s="43">
        <f t="shared" si="6"/>
        <v>0</v>
      </c>
      <c r="X13" s="27"/>
      <c r="Y13" s="27"/>
      <c r="Z13" s="28"/>
    </row>
    <row r="14" spans="1:32" s="10" customFormat="1" ht="45" customHeight="1" x14ac:dyDescent="0.15">
      <c r="A14" s="19" t="s">
        <v>30</v>
      </c>
      <c r="B14" s="35">
        <f t="shared" si="2"/>
        <v>19</v>
      </c>
      <c r="C14" s="76">
        <f t="shared" si="3"/>
        <v>19</v>
      </c>
      <c r="D14" s="72"/>
      <c r="E14" s="72">
        <v>1</v>
      </c>
      <c r="F14" s="73">
        <v>4</v>
      </c>
      <c r="G14" s="60"/>
      <c r="H14" s="53">
        <v>1</v>
      </c>
      <c r="I14" s="74">
        <v>0</v>
      </c>
      <c r="J14" s="75">
        <v>2</v>
      </c>
      <c r="K14" s="77">
        <v>1</v>
      </c>
      <c r="L14" s="77"/>
      <c r="M14" s="77"/>
      <c r="N14" s="78"/>
      <c r="O14" s="75">
        <v>5</v>
      </c>
      <c r="P14" s="107"/>
      <c r="Q14" s="60"/>
      <c r="R14" s="74"/>
      <c r="S14" s="73">
        <v>2</v>
      </c>
      <c r="T14" s="77">
        <v>1</v>
      </c>
      <c r="U14" s="60">
        <v>1</v>
      </c>
      <c r="V14" s="158">
        <v>1</v>
      </c>
      <c r="W14" s="43">
        <f t="shared" si="6"/>
        <v>0</v>
      </c>
      <c r="X14" s="20"/>
      <c r="Y14" s="20"/>
      <c r="Z14" s="21"/>
    </row>
    <row r="15" spans="1:32" s="10" customFormat="1" ht="45" customHeight="1" x14ac:dyDescent="0.15">
      <c r="A15" s="19" t="s">
        <v>31</v>
      </c>
      <c r="B15" s="35">
        <f t="shared" si="2"/>
        <v>17</v>
      </c>
      <c r="C15" s="76">
        <f t="shared" si="3"/>
        <v>17</v>
      </c>
      <c r="D15" s="72"/>
      <c r="E15" s="72">
        <v>1</v>
      </c>
      <c r="F15" s="73">
        <v>4</v>
      </c>
      <c r="G15" s="60"/>
      <c r="H15" s="99">
        <v>1</v>
      </c>
      <c r="I15" s="74"/>
      <c r="J15" s="75">
        <v>1</v>
      </c>
      <c r="K15" s="77">
        <v>1</v>
      </c>
      <c r="L15" s="77"/>
      <c r="M15" s="77"/>
      <c r="N15" s="78"/>
      <c r="O15" s="75">
        <v>3</v>
      </c>
      <c r="P15" s="110">
        <v>0</v>
      </c>
      <c r="Q15" s="60">
        <v>1</v>
      </c>
      <c r="R15" s="74"/>
      <c r="S15" s="75">
        <v>3</v>
      </c>
      <c r="T15" s="77">
        <v>1</v>
      </c>
      <c r="U15" s="60">
        <v>1</v>
      </c>
      <c r="V15" s="74"/>
      <c r="W15" s="43">
        <f t="shared" si="6"/>
        <v>0</v>
      </c>
      <c r="X15" s="20"/>
      <c r="Y15" s="27"/>
      <c r="Z15" s="21"/>
    </row>
    <row r="16" spans="1:32" s="10" customFormat="1" ht="45" customHeight="1" x14ac:dyDescent="0.15">
      <c r="A16" s="22" t="s">
        <v>32</v>
      </c>
      <c r="B16" s="36">
        <f t="shared" si="2"/>
        <v>24</v>
      </c>
      <c r="C16" s="79">
        <f t="shared" si="3"/>
        <v>24</v>
      </c>
      <c r="D16" s="80"/>
      <c r="E16" s="80">
        <v>1</v>
      </c>
      <c r="F16" s="89">
        <v>5</v>
      </c>
      <c r="G16" s="61"/>
      <c r="H16" s="55">
        <v>1</v>
      </c>
      <c r="I16" s="83"/>
      <c r="J16" s="89">
        <v>4</v>
      </c>
      <c r="K16" s="61">
        <v>1</v>
      </c>
      <c r="L16" s="61"/>
      <c r="M16" s="61"/>
      <c r="N16" s="83"/>
      <c r="O16" s="89">
        <v>6</v>
      </c>
      <c r="P16" s="109"/>
      <c r="Q16" s="81"/>
      <c r="R16" s="82"/>
      <c r="S16" s="89">
        <v>5</v>
      </c>
      <c r="T16" s="61">
        <v>1</v>
      </c>
      <c r="U16" s="61"/>
      <c r="V16" s="83"/>
      <c r="W16" s="45">
        <f t="shared" si="6"/>
        <v>0</v>
      </c>
      <c r="X16" s="23"/>
      <c r="Y16" s="23"/>
      <c r="Z16" s="29"/>
    </row>
    <row r="17" s="11" customFormat="1" ht="14.25" x14ac:dyDescent="0.15"/>
    <row r="18" s="11" customFormat="1" ht="14.25" x14ac:dyDescent="0.15"/>
    <row r="19" s="11" customFormat="1" ht="14.25" x14ac:dyDescent="0.15"/>
    <row r="20" s="11" customFormat="1" ht="14.25" x14ac:dyDescent="0.15"/>
    <row r="21" s="11" customFormat="1" ht="14.25" x14ac:dyDescent="0.15"/>
    <row r="22" s="11" customFormat="1" ht="14.25" x14ac:dyDescent="0.15"/>
    <row r="23" s="11" customFormat="1" ht="14.25" x14ac:dyDescent="0.15"/>
    <row r="24" s="11" customFormat="1" ht="14.25" x14ac:dyDescent="0.15"/>
    <row r="25" s="11" customFormat="1" ht="14.25" x14ac:dyDescent="0.15"/>
    <row r="26" s="11" customFormat="1" ht="14.25" x14ac:dyDescent="0.15"/>
    <row r="27" s="11" customFormat="1" ht="14.25" x14ac:dyDescent="0.15"/>
    <row r="28" s="11" customFormat="1" ht="14.25" x14ac:dyDescent="0.15"/>
    <row r="29" s="11" customFormat="1" ht="14.25" x14ac:dyDescent="0.15"/>
    <row r="30" s="11" customFormat="1" ht="14.25" x14ac:dyDescent="0.15"/>
    <row r="31" s="11" customFormat="1" ht="14.25" x14ac:dyDescent="0.15"/>
    <row r="32" s="11" customFormat="1" ht="14.25" x14ac:dyDescent="0.15"/>
    <row r="33" s="11" customFormat="1" ht="14.25" x14ac:dyDescent="0.15"/>
    <row r="34" s="11" customFormat="1" ht="14.25" x14ac:dyDescent="0.15"/>
    <row r="35" s="11" customFormat="1" ht="14.25" x14ac:dyDescent="0.15"/>
    <row r="36" s="11" customFormat="1" ht="14.25" x14ac:dyDescent="0.15"/>
    <row r="37" s="11" customFormat="1" ht="14.25" x14ac:dyDescent="0.15"/>
    <row r="38" s="11" customFormat="1" ht="14.25" x14ac:dyDescent="0.15"/>
    <row r="39" s="11" customFormat="1" ht="14.25" x14ac:dyDescent="0.15"/>
    <row r="40" s="11" customFormat="1" ht="14.25" x14ac:dyDescent="0.15"/>
    <row r="41" s="11" customFormat="1" ht="14.25" x14ac:dyDescent="0.15"/>
    <row r="42" s="11" customFormat="1" ht="14.25" x14ac:dyDescent="0.15"/>
    <row r="43" s="11" customFormat="1" ht="14.25" x14ac:dyDescent="0.15"/>
    <row r="44" s="11" customFormat="1" ht="14.25" x14ac:dyDescent="0.15"/>
    <row r="45" s="11" customFormat="1" ht="14.25" x14ac:dyDescent="0.15"/>
    <row r="46" s="11" customFormat="1" ht="14.25" x14ac:dyDescent="0.15"/>
    <row r="47" s="11" customFormat="1" ht="14.25" x14ac:dyDescent="0.15"/>
    <row r="48" s="11" customFormat="1" ht="14.25" x14ac:dyDescent="0.15"/>
    <row r="49" s="11" customFormat="1" ht="14.25" x14ac:dyDescent="0.15"/>
    <row r="50" s="11" customFormat="1" ht="14.25" x14ac:dyDescent="0.15"/>
    <row r="51" s="11" customFormat="1" ht="14.25" x14ac:dyDescent="0.15"/>
    <row r="52" s="11" customFormat="1" ht="14.25" x14ac:dyDescent="0.15"/>
    <row r="53" s="11" customFormat="1" ht="14.25" x14ac:dyDescent="0.15"/>
    <row r="54" s="11" customFormat="1" ht="14.25" x14ac:dyDescent="0.15"/>
    <row r="55" s="11" customFormat="1" ht="14.25" x14ac:dyDescent="0.15"/>
    <row r="56" s="11" customFormat="1" ht="14.25" x14ac:dyDescent="0.15"/>
    <row r="57" s="11" customFormat="1" ht="14.25" x14ac:dyDescent="0.15"/>
    <row r="58" s="11" customFormat="1" ht="14.25" x14ac:dyDescent="0.15"/>
    <row r="59" s="11" customFormat="1" ht="14.25" x14ac:dyDescent="0.15"/>
    <row r="60" s="11" customFormat="1" ht="14.25" x14ac:dyDescent="0.15"/>
    <row r="61" s="11" customFormat="1" ht="14.25" x14ac:dyDescent="0.15"/>
    <row r="62" s="11" customFormat="1" ht="14.25" x14ac:dyDescent="0.15"/>
    <row r="63" s="11" customFormat="1" ht="14.25" x14ac:dyDescent="0.15"/>
    <row r="64" s="11" customFormat="1" ht="14.25" x14ac:dyDescent="0.15"/>
    <row r="65" s="11" customFormat="1" ht="14.25" x14ac:dyDescent="0.15"/>
    <row r="66" s="11" customFormat="1" ht="14.25" x14ac:dyDescent="0.15"/>
    <row r="67" s="11" customFormat="1" ht="14.25" x14ac:dyDescent="0.15"/>
    <row r="68" s="11" customFormat="1" ht="14.25" x14ac:dyDescent="0.15"/>
    <row r="69" s="11" customFormat="1" ht="14.25" x14ac:dyDescent="0.15"/>
    <row r="70" s="11" customFormat="1" ht="14.25" x14ac:dyDescent="0.15"/>
    <row r="71" s="11" customFormat="1" ht="14.25" x14ac:dyDescent="0.15"/>
    <row r="72" s="11" customFormat="1" ht="14.25" x14ac:dyDescent="0.15"/>
    <row r="73" s="11" customFormat="1" ht="14.25" x14ac:dyDescent="0.15"/>
    <row r="74" s="11" customFormat="1" ht="14.25" x14ac:dyDescent="0.15"/>
    <row r="75" s="11" customFormat="1" ht="14.25" x14ac:dyDescent="0.15"/>
    <row r="76" s="11" customFormat="1" ht="14.25" x14ac:dyDescent="0.15"/>
    <row r="77" s="11" customFormat="1" ht="14.25" x14ac:dyDescent="0.15"/>
    <row r="78" s="11" customFormat="1" ht="14.25" x14ac:dyDescent="0.15"/>
    <row r="79" s="11" customFormat="1" ht="14.25" x14ac:dyDescent="0.15"/>
    <row r="80" s="11" customFormat="1" ht="14.25" x14ac:dyDescent="0.15"/>
    <row r="81" s="11" customFormat="1" ht="14.25" x14ac:dyDescent="0.15"/>
    <row r="82" s="11" customFormat="1" ht="14.25" x14ac:dyDescent="0.15"/>
    <row r="83" s="11" customFormat="1" ht="14.25" x14ac:dyDescent="0.15"/>
    <row r="84" s="11" customFormat="1" ht="14.25" x14ac:dyDescent="0.15"/>
    <row r="85" s="11" customFormat="1" ht="14.25" x14ac:dyDescent="0.15"/>
    <row r="86" s="11" customFormat="1" ht="14.25" x14ac:dyDescent="0.15"/>
    <row r="87" s="11" customFormat="1" ht="14.25" x14ac:dyDescent="0.15"/>
  </sheetData>
  <mergeCells count="12">
    <mergeCell ref="W5:W6"/>
    <mergeCell ref="X5:Z5"/>
    <mergeCell ref="A2:Z2"/>
    <mergeCell ref="A4:A6"/>
    <mergeCell ref="B4:B6"/>
    <mergeCell ref="C4:V4"/>
    <mergeCell ref="W4:Z4"/>
    <mergeCell ref="C5:C6"/>
    <mergeCell ref="F5:I5"/>
    <mergeCell ref="J5:N5"/>
    <mergeCell ref="O5:R5"/>
    <mergeCell ref="S5:V5"/>
  </mergeCells>
  <phoneticPr fontId="15" type="noConversion"/>
  <pageMargins left="0.25" right="0.25" top="0.75" bottom="0.75" header="0.3" footer="0.3"/>
  <pageSetup paperSize="9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별표1 중부청 기준정원</vt:lpstr>
      <vt:lpstr>별표1-1 중부청 운영정원</vt:lpstr>
      <vt:lpstr>별표1-2 중부청 운영정원 </vt:lpstr>
      <vt:lpstr>'별표1 중부청 기준정원'!Print_Area</vt:lpstr>
      <vt:lpstr>'별표1-1 중부청 운영정원'!Print_Area</vt:lpstr>
      <vt:lpstr>'별표1-2 중부청 운영정원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이정선</dc:creator>
  <cp:lastModifiedBy>FRE11-062</cp:lastModifiedBy>
  <cp:revision>1</cp:revision>
  <cp:lastPrinted>2025-12-24T08:43:32Z</cp:lastPrinted>
  <dcterms:created xsi:type="dcterms:W3CDTF">2004-10-20T07:55:22Z</dcterms:created>
  <dcterms:modified xsi:type="dcterms:W3CDTF">2026-02-23T00:27:21Z</dcterms:modified>
</cp:coreProperties>
</file>