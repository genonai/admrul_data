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D\Desktop\이동근\2026\4. 훈령\7.22\하부조직별 정원\"/>
    </mc:Choice>
  </mc:AlternateContent>
  <bookViews>
    <workbookView xWindow="0" yWindow="0" windowWidth="28800" windowHeight="12180" tabRatio="903"/>
  </bookViews>
  <sheets>
    <sheet name="(별표1)본청 기준정원" sheetId="22" r:id="rId1"/>
    <sheet name="(별표1의2)본청 운영정원" sheetId="23" r:id="rId2"/>
    <sheet name="(별표2)소속기관(책임운영기관 제외) 기준정원" sheetId="18" r:id="rId3"/>
    <sheet name="(별표2의2)소속기관(책임운영기관 제외) 운영정원" sheetId="19" r:id="rId4"/>
    <sheet name="(별표2의3)소속기관(책임운영기관 제외) 운영정원" sheetId="24" r:id="rId5"/>
    <sheet name="(별표2의4)소속기관(책임운영기관 제외) 운영정원 (2" sheetId="25" r:id="rId6"/>
    <sheet name="(별표2의5)소속기관(책임운영기관 제외) 운영정원" sheetId="26" r:id="rId7"/>
  </sheets>
  <definedNames>
    <definedName name="_xlnm.Print_Area" localSheetId="0">'(별표1)본청 기준정원'!$A$1:$AS$19</definedName>
    <definedName name="_xlnm.Print_Area" localSheetId="1">'(별표1의2)본청 운영정원'!$A$1:$AT$19</definedName>
    <definedName name="_xlnm.Print_Area" localSheetId="2">'(별표2)소속기관(책임운영기관 제외) 기준정원'!$A$1:$BL$19</definedName>
    <definedName name="_xlnm.Print_Area" localSheetId="3">'(별표2의2)소속기관(책임운영기관 제외) 운영정원'!$A$1:$BN$19</definedName>
    <definedName name="_xlnm.Print_Area" localSheetId="4">'(별표2의3)소속기관(책임운영기관 제외) 운영정원'!$A$1:$BN$19</definedName>
    <definedName name="_xlnm.Print_Area" localSheetId="5">'(별표2의4)소속기관(책임운영기관 제외) 운영정원 (2'!$A$1:$BN$19</definedName>
    <definedName name="_xlnm.Print_Area" localSheetId="6">'(별표2의5)소속기관(책임운영기관 제외) 운영정원'!$A$1:$BN$19</definedName>
    <definedName name="_xlnm.Print_Titles" localSheetId="0">'(별표1)본청 기준정원'!$5:$7</definedName>
    <definedName name="_xlnm.Print_Titles" localSheetId="1">'(별표1의2)본청 운영정원'!$5:$7</definedName>
  </definedNames>
  <calcPr calcId="162913"/>
</workbook>
</file>

<file path=xl/calcChain.xml><?xml version="1.0" encoding="utf-8"?>
<calcChain xmlns="http://schemas.openxmlformats.org/spreadsheetml/2006/main">
  <c r="AM13" i="23" l="1"/>
  <c r="AG13" i="23"/>
  <c r="AM13" i="22"/>
  <c r="AG13" i="22"/>
  <c r="AM10" i="23"/>
  <c r="AG10" i="23"/>
  <c r="AM10" i="22"/>
  <c r="AG10" i="22"/>
  <c r="AB19" i="23" l="1"/>
  <c r="T16" i="23"/>
  <c r="T17" i="23"/>
  <c r="AB14" i="23"/>
  <c r="AB19" i="22" l="1"/>
  <c r="AB16" i="22"/>
  <c r="AB14" i="22"/>
  <c r="T16" i="22"/>
  <c r="T17" i="22"/>
  <c r="AR9" i="26" l="1"/>
  <c r="AL9" i="26"/>
  <c r="BF9" i="26" l="1"/>
  <c r="BF9" i="25"/>
  <c r="AR9" i="25"/>
  <c r="AR11" i="19" l="1"/>
  <c r="U11" i="19"/>
  <c r="AL9" i="19"/>
  <c r="U9" i="19"/>
  <c r="AR11" i="25"/>
  <c r="AR16" i="25"/>
  <c r="AR15" i="25"/>
  <c r="AR11" i="26"/>
  <c r="AR11" i="24"/>
  <c r="BF9" i="24"/>
  <c r="AR9" i="24"/>
  <c r="AR9" i="19"/>
  <c r="BF9" i="19" l="1"/>
  <c r="AP9" i="18"/>
  <c r="BD9" i="18"/>
  <c r="T14" i="23" l="1"/>
  <c r="S14" i="23"/>
  <c r="K8" i="23"/>
  <c r="T14" i="22" l="1"/>
  <c r="K8" i="22"/>
  <c r="S14" i="22"/>
  <c r="C19" i="26" l="1"/>
  <c r="C18" i="26"/>
  <c r="C19" i="25"/>
  <c r="C18" i="25"/>
  <c r="C19" i="24"/>
  <c r="C18" i="24"/>
  <c r="C19" i="19"/>
  <c r="C18" i="19"/>
  <c r="U16" i="25" l="1"/>
  <c r="U15" i="25"/>
  <c r="C15" i="25" s="1"/>
  <c r="B15" i="25" s="1"/>
  <c r="AR16" i="26"/>
  <c r="AR15" i="26"/>
  <c r="U16" i="26"/>
  <c r="U15" i="26"/>
  <c r="AR7" i="26"/>
  <c r="AL7" i="26"/>
  <c r="U9" i="26"/>
  <c r="BN19" i="26"/>
  <c r="BM19" i="26"/>
  <c r="BD19" i="26"/>
  <c r="AO19" i="26"/>
  <c r="AO17" i="26" s="1"/>
  <c r="AA19" i="26"/>
  <c r="AA17" i="26" s="1"/>
  <c r="AA7" i="26" s="1"/>
  <c r="T19" i="26"/>
  <c r="L19" i="26"/>
  <c r="F19" i="26"/>
  <c r="B19" i="26" s="1"/>
  <c r="BN18" i="26"/>
  <c r="BM18" i="26"/>
  <c r="BD18" i="26"/>
  <c r="AO18" i="26"/>
  <c r="AA18" i="26"/>
  <c r="T18" i="26"/>
  <c r="T17" i="26" s="1"/>
  <c r="T7" i="26" s="1"/>
  <c r="L18" i="26"/>
  <c r="L17" i="26" s="1"/>
  <c r="F18" i="26"/>
  <c r="F17" i="26" s="1"/>
  <c r="B18" i="26"/>
  <c r="BN17" i="26"/>
  <c r="BN7" i="26" s="1"/>
  <c r="BM17" i="26"/>
  <c r="BM7" i="26" s="1"/>
  <c r="BD17" i="26"/>
  <c r="BD7" i="26" s="1"/>
  <c r="AX16" i="26"/>
  <c r="AO16" i="26"/>
  <c r="AL16" i="26"/>
  <c r="F16" i="26"/>
  <c r="E16" i="26"/>
  <c r="C16" i="26" s="1"/>
  <c r="B16" i="26" s="1"/>
  <c r="AX15" i="26"/>
  <c r="AO15" i="26"/>
  <c r="AL15" i="26"/>
  <c r="AA15" i="26"/>
  <c r="C15" i="26"/>
  <c r="B15" i="26" s="1"/>
  <c r="BH14" i="26"/>
  <c r="BH11" i="26" s="1"/>
  <c r="BH7" i="26" s="1"/>
  <c r="AX14" i="26"/>
  <c r="AO14" i="26"/>
  <c r="AL14" i="26"/>
  <c r="U14" i="26"/>
  <c r="C14" i="26"/>
  <c r="B14" i="26" s="1"/>
  <c r="BK13" i="26"/>
  <c r="BK11" i="26" s="1"/>
  <c r="BK7" i="26" s="1"/>
  <c r="AX13" i="26"/>
  <c r="AW13" i="26"/>
  <c r="AW11" i="26" s="1"/>
  <c r="AW7" i="26" s="1"/>
  <c r="AO13" i="26"/>
  <c r="AL13" i="26"/>
  <c r="C13" i="26" s="1"/>
  <c r="B13" i="26" s="1"/>
  <c r="U13" i="26"/>
  <c r="BE12" i="26"/>
  <c r="BE11" i="26" s="1"/>
  <c r="BE7" i="26" s="1"/>
  <c r="AZ12" i="26"/>
  <c r="AZ11" i="26" s="1"/>
  <c r="AZ7" i="26" s="1"/>
  <c r="AX12" i="26"/>
  <c r="AX11" i="26" s="1"/>
  <c r="AX7" i="26" s="1"/>
  <c r="AP12" i="26"/>
  <c r="AO12" i="26"/>
  <c r="AL12" i="26"/>
  <c r="U12" i="26"/>
  <c r="C12" i="26" s="1"/>
  <c r="B12" i="26" s="1"/>
  <c r="BJ11" i="26"/>
  <c r="BJ7" i="26" s="1"/>
  <c r="BI11" i="26"/>
  <c r="BI7" i="26" s="1"/>
  <c r="BA11" i="26"/>
  <c r="AY11" i="26"/>
  <c r="AU11" i="26"/>
  <c r="AU7" i="26" s="1"/>
  <c r="AT11" i="26"/>
  <c r="AT7" i="26" s="1"/>
  <c r="AS11" i="26"/>
  <c r="AS7" i="26" s="1"/>
  <c r="AP11" i="26"/>
  <c r="AP7" i="26" s="1"/>
  <c r="AO11" i="26"/>
  <c r="AO7" i="26" s="1"/>
  <c r="AL11" i="26"/>
  <c r="AJ11" i="26"/>
  <c r="AI11" i="26"/>
  <c r="AH11" i="26"/>
  <c r="AF11" i="26"/>
  <c r="AD11" i="26"/>
  <c r="AC11" i="26"/>
  <c r="AC7" i="26" s="1"/>
  <c r="AB11" i="26"/>
  <c r="AA11" i="26"/>
  <c r="S11" i="26"/>
  <c r="Q11" i="26"/>
  <c r="L11" i="26"/>
  <c r="I11" i="26"/>
  <c r="F11" i="26"/>
  <c r="D11" i="26"/>
  <c r="AO10" i="26"/>
  <c r="Q10" i="26"/>
  <c r="Q7" i="26" s="1"/>
  <c r="L10" i="26"/>
  <c r="BH9" i="26"/>
  <c r="AZ9" i="26"/>
  <c r="I8" i="26"/>
  <c r="I7" i="26" s="1"/>
  <c r="C8" i="26"/>
  <c r="B8" i="26" s="1"/>
  <c r="BL7" i="26"/>
  <c r="BG7" i="26"/>
  <c r="BF7" i="26"/>
  <c r="BC7" i="26"/>
  <c r="BB7" i="26"/>
  <c r="BA7" i="26"/>
  <c r="AY7" i="26"/>
  <c r="AV7" i="26"/>
  <c r="AQ7" i="26"/>
  <c r="AN7" i="26"/>
  <c r="AM7" i="26"/>
  <c r="AK7" i="26"/>
  <c r="AJ7" i="26"/>
  <c r="AI7" i="26"/>
  <c r="AH7" i="26"/>
  <c r="AG7" i="26"/>
  <c r="AF7" i="26"/>
  <c r="AE7" i="26"/>
  <c r="AD7" i="26"/>
  <c r="AB7" i="26"/>
  <c r="Z7" i="26"/>
  <c r="Y7" i="26"/>
  <c r="X7" i="26"/>
  <c r="W7" i="26"/>
  <c r="V7" i="26"/>
  <c r="S7" i="26"/>
  <c r="R7" i="26"/>
  <c r="P7" i="26"/>
  <c r="O7" i="26"/>
  <c r="N7" i="26"/>
  <c r="M7" i="26"/>
  <c r="K7" i="26"/>
  <c r="J7" i="26"/>
  <c r="H7" i="26"/>
  <c r="G7" i="26"/>
  <c r="D7" i="26"/>
  <c r="AL9" i="25"/>
  <c r="U9" i="25"/>
  <c r="BN19" i="25"/>
  <c r="BM19" i="25"/>
  <c r="BD19" i="25"/>
  <c r="AO19" i="25"/>
  <c r="AA19" i="25"/>
  <c r="T19" i="25"/>
  <c r="L19" i="25"/>
  <c r="F19" i="25"/>
  <c r="B19" i="25"/>
  <c r="BN18" i="25"/>
  <c r="BN17" i="25" s="1"/>
  <c r="BN7" i="25" s="1"/>
  <c r="BM18" i="25"/>
  <c r="BM17" i="25" s="1"/>
  <c r="BM7" i="25" s="1"/>
  <c r="BD18" i="25"/>
  <c r="BD17" i="25" s="1"/>
  <c r="BD7" i="25" s="1"/>
  <c r="AO18" i="25"/>
  <c r="AO17" i="25" s="1"/>
  <c r="AA18" i="25"/>
  <c r="AA17" i="25" s="1"/>
  <c r="AA7" i="25" s="1"/>
  <c r="T18" i="25"/>
  <c r="T17" i="25" s="1"/>
  <c r="T7" i="25" s="1"/>
  <c r="L18" i="25"/>
  <c r="B18" i="25" s="1"/>
  <c r="F18" i="25"/>
  <c r="F17" i="25"/>
  <c r="AX16" i="25"/>
  <c r="AO16" i="25"/>
  <c r="AL16" i="25"/>
  <c r="F16" i="25"/>
  <c r="F11" i="25" s="1"/>
  <c r="E16" i="25"/>
  <c r="AX15" i="25"/>
  <c r="AO15" i="25"/>
  <c r="AL15" i="25"/>
  <c r="AA15" i="25"/>
  <c r="BH14" i="25"/>
  <c r="BH11" i="25" s="1"/>
  <c r="BH7" i="25" s="1"/>
  <c r="AX14" i="25"/>
  <c r="AO14" i="25"/>
  <c r="AL14" i="25"/>
  <c r="U14" i="25"/>
  <c r="C14" i="25" s="1"/>
  <c r="B14" i="25" s="1"/>
  <c r="BK13" i="25"/>
  <c r="AX13" i="25"/>
  <c r="AW13" i="25"/>
  <c r="AO13" i="25"/>
  <c r="AO11" i="25" s="1"/>
  <c r="AL13" i="25"/>
  <c r="AL11" i="25" s="1"/>
  <c r="AL7" i="25" s="1"/>
  <c r="U13" i="25"/>
  <c r="C13" i="25"/>
  <c r="B13" i="25"/>
  <c r="BE12" i="25"/>
  <c r="BE11" i="25" s="1"/>
  <c r="BE7" i="25" s="1"/>
  <c r="AZ12" i="25"/>
  <c r="AZ11" i="25" s="1"/>
  <c r="AX12" i="25"/>
  <c r="AP12" i="25"/>
  <c r="AO12" i="25"/>
  <c r="AL12" i="25"/>
  <c r="C12" i="25" s="1"/>
  <c r="B12" i="25" s="1"/>
  <c r="U12" i="25"/>
  <c r="BK11" i="25"/>
  <c r="BJ11" i="25"/>
  <c r="BI11" i="25"/>
  <c r="BA11" i="25"/>
  <c r="BA7" i="25" s="1"/>
  <c r="AY11" i="25"/>
  <c r="AY7" i="25" s="1"/>
  <c r="AX11" i="25"/>
  <c r="AX7" i="25" s="1"/>
  <c r="AW11" i="25"/>
  <c r="AW7" i="25" s="1"/>
  <c r="AU11" i="25"/>
  <c r="AT11" i="25"/>
  <c r="AS11" i="25"/>
  <c r="AP11" i="25"/>
  <c r="AJ11" i="25"/>
  <c r="AJ7" i="25" s="1"/>
  <c r="AI11" i="25"/>
  <c r="AI7" i="25" s="1"/>
  <c r="AH11" i="25"/>
  <c r="AH7" i="25" s="1"/>
  <c r="AF11" i="25"/>
  <c r="AD11" i="25"/>
  <c r="AC11" i="25"/>
  <c r="AB11" i="25"/>
  <c r="AA11" i="25"/>
  <c r="U11" i="25"/>
  <c r="U7" i="25" s="1"/>
  <c r="S11" i="25"/>
  <c r="S7" i="25" s="1"/>
  <c r="Q11" i="25"/>
  <c r="L11" i="25"/>
  <c r="I11" i="25"/>
  <c r="E11" i="25"/>
  <c r="D11" i="25"/>
  <c r="AO10" i="25"/>
  <c r="Q10" i="25"/>
  <c r="Q7" i="25" s="1"/>
  <c r="L10" i="25"/>
  <c r="C10" i="25"/>
  <c r="B10" i="25"/>
  <c r="BH9" i="25"/>
  <c r="AZ9" i="25"/>
  <c r="AZ7" i="25" s="1"/>
  <c r="C9" i="25"/>
  <c r="B9" i="25" s="1"/>
  <c r="I8" i="25"/>
  <c r="I7" i="25" s="1"/>
  <c r="C8" i="25"/>
  <c r="B8" i="25"/>
  <c r="BL7" i="25"/>
  <c r="BK7" i="25"/>
  <c r="BJ7" i="25"/>
  <c r="BI7" i="25"/>
  <c r="BG7" i="25"/>
  <c r="BF7" i="25"/>
  <c r="BC7" i="25"/>
  <c r="BB7" i="25"/>
  <c r="AV7" i="25"/>
  <c r="AU7" i="25"/>
  <c r="AT7" i="25"/>
  <c r="AS7" i="25"/>
  <c r="AR7" i="25"/>
  <c r="AQ7" i="25"/>
  <c r="AP7" i="25"/>
  <c r="AN7" i="25"/>
  <c r="AM7" i="25"/>
  <c r="AK7" i="25"/>
  <c r="AG7" i="25"/>
  <c r="AF7" i="25"/>
  <c r="AE7" i="25"/>
  <c r="AD7" i="25"/>
  <c r="AC7" i="25"/>
  <c r="AB7" i="25"/>
  <c r="Z7" i="25"/>
  <c r="Y7" i="25"/>
  <c r="X7" i="25"/>
  <c r="W7" i="25"/>
  <c r="V7" i="25"/>
  <c r="R7" i="25"/>
  <c r="P7" i="25"/>
  <c r="O7" i="25"/>
  <c r="N7" i="25"/>
  <c r="M7" i="25"/>
  <c r="K7" i="25"/>
  <c r="J7" i="25"/>
  <c r="H7" i="25"/>
  <c r="G7" i="25"/>
  <c r="E7" i="25"/>
  <c r="D7" i="25"/>
  <c r="AR7" i="24"/>
  <c r="AL9" i="24"/>
  <c r="U9" i="24"/>
  <c r="BN19" i="24"/>
  <c r="BM19" i="24"/>
  <c r="BD19" i="24"/>
  <c r="AO19" i="24"/>
  <c r="AA19" i="24"/>
  <c r="T19" i="24"/>
  <c r="L19" i="24"/>
  <c r="F19" i="24"/>
  <c r="B19" i="24"/>
  <c r="BN18" i="24"/>
  <c r="BN17" i="24" s="1"/>
  <c r="BN7" i="24" s="1"/>
  <c r="BM18" i="24"/>
  <c r="BM17" i="24" s="1"/>
  <c r="BM7" i="24" s="1"/>
  <c r="BD18" i="24"/>
  <c r="BD17" i="24" s="1"/>
  <c r="BD7" i="24" s="1"/>
  <c r="AO18" i="24"/>
  <c r="AO17" i="24" s="1"/>
  <c r="AA18" i="24"/>
  <c r="AA17" i="24" s="1"/>
  <c r="AA7" i="24" s="1"/>
  <c r="T18" i="24"/>
  <c r="T17" i="24" s="1"/>
  <c r="L18" i="24"/>
  <c r="F18" i="24"/>
  <c r="L17" i="24"/>
  <c r="F17" i="24"/>
  <c r="AX16" i="24"/>
  <c r="AR16" i="24"/>
  <c r="C16" i="24" s="1"/>
  <c r="B16" i="24" s="1"/>
  <c r="AO16" i="24"/>
  <c r="AL16" i="24"/>
  <c r="U16" i="24"/>
  <c r="F16" i="24"/>
  <c r="E16" i="24"/>
  <c r="AX15" i="24"/>
  <c r="AR15" i="24"/>
  <c r="AO15" i="24"/>
  <c r="AL15" i="24"/>
  <c r="AA15" i="24"/>
  <c r="U15" i="24"/>
  <c r="C15" i="24"/>
  <c r="B15" i="24"/>
  <c r="BH14" i="24"/>
  <c r="BH11" i="24" s="1"/>
  <c r="AX14" i="24"/>
  <c r="AO14" i="24"/>
  <c r="AL14" i="24"/>
  <c r="U14" i="24"/>
  <c r="BK13" i="24"/>
  <c r="AX13" i="24"/>
  <c r="AW13" i="24"/>
  <c r="AW11" i="24" s="1"/>
  <c r="AW7" i="24" s="1"/>
  <c r="AO13" i="24"/>
  <c r="AO11" i="24" s="1"/>
  <c r="AL13" i="24"/>
  <c r="AL11" i="24" s="1"/>
  <c r="AL7" i="24" s="1"/>
  <c r="U13" i="24"/>
  <c r="C13" i="24"/>
  <c r="B13" i="24"/>
  <c r="BE12" i="24"/>
  <c r="BE11" i="24" s="1"/>
  <c r="BE7" i="24" s="1"/>
  <c r="AZ12" i="24"/>
  <c r="C12" i="24" s="1"/>
  <c r="B12" i="24" s="1"/>
  <c r="AX12" i="24"/>
  <c r="AP12" i="24"/>
  <c r="AO12" i="24"/>
  <c r="AL12" i="24"/>
  <c r="U12" i="24"/>
  <c r="BK11" i="24"/>
  <c r="BJ11" i="24"/>
  <c r="BI11" i="24"/>
  <c r="BA11" i="24"/>
  <c r="BA7" i="24" s="1"/>
  <c r="AY11" i="24"/>
  <c r="AY7" i="24" s="1"/>
  <c r="AX11" i="24"/>
  <c r="AX7" i="24" s="1"/>
  <c r="AU11" i="24"/>
  <c r="AT11" i="24"/>
  <c r="AS11" i="24"/>
  <c r="AP11" i="24"/>
  <c r="AP7" i="24" s="1"/>
  <c r="AJ11" i="24"/>
  <c r="AJ7" i="24" s="1"/>
  <c r="AI11" i="24"/>
  <c r="AI7" i="24" s="1"/>
  <c r="AH11" i="24"/>
  <c r="AF11" i="24"/>
  <c r="AD11" i="24"/>
  <c r="AC11" i="24"/>
  <c r="AB11" i="24"/>
  <c r="AA11" i="24"/>
  <c r="U11" i="24"/>
  <c r="S11" i="24"/>
  <c r="Q11" i="24"/>
  <c r="L11" i="24"/>
  <c r="I11" i="24"/>
  <c r="F11" i="24"/>
  <c r="F7" i="24" s="1"/>
  <c r="E11" i="24"/>
  <c r="D11" i="24"/>
  <c r="AO10" i="24"/>
  <c r="Q10" i="24"/>
  <c r="Q7" i="24" s="1"/>
  <c r="L10" i="24"/>
  <c r="C10" i="24"/>
  <c r="B10" i="24"/>
  <c r="BH9" i="24"/>
  <c r="BH7" i="24" s="1"/>
  <c r="AZ9" i="24"/>
  <c r="I8" i="24"/>
  <c r="I7" i="24" s="1"/>
  <c r="C8" i="24"/>
  <c r="B8" i="24"/>
  <c r="BL7" i="24"/>
  <c r="BK7" i="24"/>
  <c r="BJ7" i="24"/>
  <c r="BI7" i="24"/>
  <c r="BG7" i="24"/>
  <c r="BF7" i="24"/>
  <c r="BC7" i="24"/>
  <c r="BB7" i="24"/>
  <c r="AV7" i="24"/>
  <c r="AU7" i="24"/>
  <c r="AT7" i="24"/>
  <c r="AS7" i="24"/>
  <c r="AQ7" i="24"/>
  <c r="AN7" i="24"/>
  <c r="AM7" i="24"/>
  <c r="AK7" i="24"/>
  <c r="AH7" i="24"/>
  <c r="AG7" i="24"/>
  <c r="AF7" i="24"/>
  <c r="AE7" i="24"/>
  <c r="AD7" i="24"/>
  <c r="AC7" i="24"/>
  <c r="AB7" i="24"/>
  <c r="Z7" i="24"/>
  <c r="Y7" i="24"/>
  <c r="X7" i="24"/>
  <c r="W7" i="24"/>
  <c r="V7" i="24"/>
  <c r="S7" i="24"/>
  <c r="R7" i="24"/>
  <c r="P7" i="24"/>
  <c r="O7" i="24"/>
  <c r="N7" i="24"/>
  <c r="M7" i="24"/>
  <c r="L7" i="24"/>
  <c r="K7" i="24"/>
  <c r="J7" i="24"/>
  <c r="H7" i="24"/>
  <c r="G7" i="24"/>
  <c r="E7" i="24"/>
  <c r="D7" i="24"/>
  <c r="C9" i="26" l="1"/>
  <c r="B9" i="26" s="1"/>
  <c r="F7" i="26"/>
  <c r="C17" i="26"/>
  <c r="B17" i="26" s="1"/>
  <c r="L7" i="26"/>
  <c r="U11" i="26"/>
  <c r="U7" i="26" s="1"/>
  <c r="C10" i="26"/>
  <c r="B10" i="26" s="1"/>
  <c r="E11" i="26"/>
  <c r="E7" i="26" s="1"/>
  <c r="F7" i="25"/>
  <c r="C11" i="25"/>
  <c r="B11" i="25" s="1"/>
  <c r="AO7" i="25"/>
  <c r="C16" i="25"/>
  <c r="B16" i="25" s="1"/>
  <c r="L17" i="25"/>
  <c r="C17" i="24"/>
  <c r="B17" i="24" s="1"/>
  <c r="T7" i="24"/>
  <c r="AO7" i="24"/>
  <c r="AZ11" i="24"/>
  <c r="C11" i="24" s="1"/>
  <c r="B11" i="24" s="1"/>
  <c r="U7" i="24"/>
  <c r="C14" i="24"/>
  <c r="B14" i="24" s="1"/>
  <c r="C9" i="24"/>
  <c r="B9" i="24" s="1"/>
  <c r="B18" i="24"/>
  <c r="AX16" i="19"/>
  <c r="AX15" i="19"/>
  <c r="AX14" i="19"/>
  <c r="AX13" i="19"/>
  <c r="AX12" i="19"/>
  <c r="AL16" i="19"/>
  <c r="AL15" i="19"/>
  <c r="AL14" i="19"/>
  <c r="AL13" i="19"/>
  <c r="AL12" i="19"/>
  <c r="AV16" i="18"/>
  <c r="AV15" i="18"/>
  <c r="AV14" i="18"/>
  <c r="AV13" i="18"/>
  <c r="AV12" i="18"/>
  <c r="AJ16" i="18"/>
  <c r="AJ15" i="18"/>
  <c r="AJ14" i="18"/>
  <c r="AJ13" i="18"/>
  <c r="AJ12" i="18"/>
  <c r="C7" i="26" l="1"/>
  <c r="B7" i="26" s="1"/>
  <c r="C11" i="26"/>
  <c r="B11" i="26" s="1"/>
  <c r="C17" i="25"/>
  <c r="B17" i="25" s="1"/>
  <c r="L7" i="25"/>
  <c r="C7" i="25"/>
  <c r="B7" i="25" s="1"/>
  <c r="AZ7" i="24"/>
  <c r="C7" i="24" s="1"/>
  <c r="B7" i="24" s="1"/>
  <c r="G8" i="23"/>
  <c r="G8" i="22"/>
  <c r="AO16" i="19"/>
  <c r="AO15" i="19"/>
  <c r="AO14" i="19"/>
  <c r="AO13" i="19"/>
  <c r="AO12" i="19"/>
  <c r="T19" i="18" l="1"/>
  <c r="T18" i="18"/>
  <c r="T19" i="19"/>
  <c r="T18" i="19"/>
  <c r="T17" i="19"/>
  <c r="T7" i="19" s="1"/>
  <c r="AM16" i="18" l="1"/>
  <c r="AM15" i="18" l="1"/>
  <c r="AM14" i="18"/>
  <c r="AM13" i="18"/>
  <c r="AM12" i="18"/>
  <c r="T17" i="18" l="1"/>
  <c r="T7" i="18" s="1"/>
  <c r="L8" i="22" l="1"/>
  <c r="L8" i="23"/>
  <c r="H19" i="23" l="1"/>
  <c r="AH16" i="23"/>
  <c r="AB16" i="23"/>
  <c r="E11" i="22" l="1"/>
  <c r="E12" i="22"/>
  <c r="E13" i="22"/>
  <c r="E14" i="22"/>
  <c r="E15" i="22"/>
  <c r="E16" i="22"/>
  <c r="E17" i="22"/>
  <c r="E18" i="22"/>
  <c r="E19" i="22"/>
  <c r="E10" i="22"/>
  <c r="AW13" i="19" l="1"/>
  <c r="AU13" i="18"/>
  <c r="F16" i="18" l="1"/>
  <c r="E16" i="18"/>
  <c r="U16" i="18"/>
  <c r="U15" i="18"/>
  <c r="U14" i="18"/>
  <c r="U13" i="18"/>
  <c r="U12" i="18"/>
  <c r="M7" i="18"/>
  <c r="O7" i="18"/>
  <c r="P7" i="18"/>
  <c r="R7" i="18"/>
  <c r="V7" i="18"/>
  <c r="W7" i="18"/>
  <c r="X7" i="18"/>
  <c r="AD7" i="18"/>
  <c r="AE7" i="18"/>
  <c r="AF7" i="18"/>
  <c r="AI7" i="18"/>
  <c r="AK7" i="18"/>
  <c r="AL7" i="18"/>
  <c r="AO7" i="18"/>
  <c r="AP7" i="18"/>
  <c r="AT7" i="18"/>
  <c r="AZ7" i="18"/>
  <c r="BA7" i="18"/>
  <c r="BD7" i="18"/>
  <c r="BE7" i="18"/>
  <c r="BJ7" i="18"/>
  <c r="J7" i="18"/>
  <c r="K7" i="18"/>
  <c r="I7" i="18"/>
  <c r="H7" i="18"/>
  <c r="G7" i="18"/>
  <c r="BL19" i="18"/>
  <c r="BL18" i="18"/>
  <c r="BK19" i="18"/>
  <c r="BK18" i="18"/>
  <c r="BB19" i="18"/>
  <c r="BB18" i="18"/>
  <c r="AM19" i="18"/>
  <c r="AM18" i="18"/>
  <c r="Y19" i="18"/>
  <c r="Y18" i="18"/>
  <c r="L19" i="18"/>
  <c r="L18" i="18"/>
  <c r="F19" i="18"/>
  <c r="F18" i="18"/>
  <c r="BB17" i="18" l="1"/>
  <c r="BB7" i="18" s="1"/>
  <c r="AJ11" i="18"/>
  <c r="AJ7" i="18" s="1"/>
  <c r="U11" i="18"/>
  <c r="F17" i="18"/>
  <c r="L17" i="18"/>
  <c r="BK17" i="18"/>
  <c r="BK7" i="18" s="1"/>
  <c r="BL17" i="18"/>
  <c r="BL7" i="18" s="1"/>
  <c r="AV11" i="18"/>
  <c r="AV7" i="18" s="1"/>
  <c r="Y17" i="18"/>
  <c r="AM17" i="18"/>
  <c r="C19" i="18"/>
  <c r="B19" i="18" s="1"/>
  <c r="C18" i="18"/>
  <c r="B18" i="18" s="1"/>
  <c r="C17" i="18" l="1"/>
  <c r="B17" i="18" s="1"/>
  <c r="F16" i="19"/>
  <c r="E16" i="19"/>
  <c r="U14" i="19"/>
  <c r="U13" i="19"/>
  <c r="U12" i="19"/>
  <c r="BN19" i="19"/>
  <c r="BN17" i="19" s="1"/>
  <c r="BN7" i="19" s="1"/>
  <c r="BN18" i="19"/>
  <c r="BM19" i="19"/>
  <c r="BM18" i="19"/>
  <c r="BM17" i="19" s="1"/>
  <c r="BM7" i="19" s="1"/>
  <c r="BD19" i="19"/>
  <c r="BD18" i="19"/>
  <c r="BD17" i="19" s="1"/>
  <c r="BD7" i="19" s="1"/>
  <c r="AO19" i="19"/>
  <c r="AO17" i="19" s="1"/>
  <c r="AO18" i="19"/>
  <c r="AA19" i="19"/>
  <c r="AA18" i="19"/>
  <c r="AA17" i="19" s="1"/>
  <c r="L19" i="19"/>
  <c r="L18" i="19"/>
  <c r="F19" i="19"/>
  <c r="F18" i="19"/>
  <c r="BL7" i="19"/>
  <c r="BF7" i="19"/>
  <c r="BG7" i="19"/>
  <c r="BC7" i="19"/>
  <c r="BB7" i="19"/>
  <c r="AQ7" i="19"/>
  <c r="AR7" i="19"/>
  <c r="AV7" i="19"/>
  <c r="AE7" i="19"/>
  <c r="AG7" i="19"/>
  <c r="AK7" i="19"/>
  <c r="AM7" i="19"/>
  <c r="AN7" i="19"/>
  <c r="V7" i="19"/>
  <c r="W7" i="19"/>
  <c r="X7" i="19"/>
  <c r="Y7" i="19"/>
  <c r="Z7" i="19"/>
  <c r="R7" i="19"/>
  <c r="M7" i="19"/>
  <c r="N7" i="19"/>
  <c r="O7" i="19"/>
  <c r="P7" i="19"/>
  <c r="J7" i="19"/>
  <c r="K7" i="19"/>
  <c r="G7" i="19"/>
  <c r="H7" i="19"/>
  <c r="S19" i="23"/>
  <c r="T12" i="23"/>
  <c r="L17" i="19" l="1"/>
  <c r="F17" i="19"/>
  <c r="AL11" i="19"/>
  <c r="AL7" i="19" s="1"/>
  <c r="AX11" i="19"/>
  <c r="AX7" i="19" s="1"/>
  <c r="B18" i="19"/>
  <c r="B19" i="19"/>
  <c r="C17" i="19" l="1"/>
  <c r="B17" i="19" s="1"/>
  <c r="H19" i="22" l="1"/>
  <c r="S19" i="22"/>
  <c r="T12" i="22"/>
  <c r="Y13" i="22" l="1"/>
  <c r="Q8" i="22"/>
  <c r="BI13" i="18" l="1"/>
  <c r="AN11" i="18" l="1"/>
  <c r="AN7" i="18" s="1"/>
  <c r="D11" i="18" l="1"/>
  <c r="D7" i="18" s="1"/>
  <c r="BI11" i="18" l="1"/>
  <c r="BI7" i="18" s="1"/>
  <c r="AO10" i="19" l="1"/>
  <c r="BK13" i="19" l="1"/>
  <c r="BE12" i="19"/>
  <c r="AP12" i="19"/>
  <c r="Z12" i="18"/>
  <c r="Y12" i="18"/>
  <c r="AN12" i="18" l="1"/>
  <c r="AQ12" i="18"/>
  <c r="BC12" i="18"/>
  <c r="Z11" i="18" l="1"/>
  <c r="Z7" i="18" s="1"/>
  <c r="Y9" i="22" l="1"/>
  <c r="AA15" i="19" l="1"/>
  <c r="U7" i="19"/>
  <c r="Q10" i="19"/>
  <c r="L10" i="19"/>
  <c r="L10" i="18" l="1"/>
  <c r="Q10" i="18"/>
  <c r="N9" i="18"/>
  <c r="N7" i="18" s="1"/>
  <c r="U9" i="18"/>
  <c r="U7" i="18" s="1"/>
  <c r="Y15" i="18"/>
  <c r="T19" i="23"/>
  <c r="T18" i="23"/>
  <c r="S17" i="23"/>
  <c r="S16" i="23"/>
  <c r="S15" i="23"/>
  <c r="W19" i="22" l="1"/>
  <c r="T19" i="22"/>
  <c r="T18" i="22" l="1"/>
  <c r="S17" i="22" l="1"/>
  <c r="S18" i="22"/>
  <c r="S16" i="22"/>
  <c r="S15" i="22"/>
  <c r="AL19" i="23" l="1"/>
  <c r="AL9" i="23" s="1"/>
  <c r="AK19" i="23"/>
  <c r="AK9" i="23" s="1"/>
  <c r="AI19" i="23"/>
  <c r="AI9" i="23" s="1"/>
  <c r="AH19" i="23"/>
  <c r="AH9" i="23" s="1"/>
  <c r="AD19" i="23"/>
  <c r="W9" i="23"/>
  <c r="X9" i="23"/>
  <c r="E18" i="23"/>
  <c r="B18" i="23" s="1"/>
  <c r="E16" i="23"/>
  <c r="B16" i="23" s="1"/>
  <c r="E15" i="23"/>
  <c r="B15" i="23" s="1"/>
  <c r="E14" i="23"/>
  <c r="B14" i="23" s="1"/>
  <c r="E13" i="23"/>
  <c r="B13" i="23" s="1"/>
  <c r="E12" i="23"/>
  <c r="B12" i="23" s="1"/>
  <c r="E11" i="23"/>
  <c r="B11" i="23" s="1"/>
  <c r="E10" i="23"/>
  <c r="B10" i="23" s="1"/>
  <c r="AS9" i="23"/>
  <c r="AR9" i="23"/>
  <c r="AQ9" i="23"/>
  <c r="AP9" i="23"/>
  <c r="AO9" i="23"/>
  <c r="AN9" i="23"/>
  <c r="AM9" i="23"/>
  <c r="AJ9" i="23"/>
  <c r="AG9" i="23"/>
  <c r="AF9" i="23"/>
  <c r="AE9" i="23"/>
  <c r="AC9" i="23"/>
  <c r="AA9" i="23"/>
  <c r="Z9" i="23"/>
  <c r="Y9" i="23"/>
  <c r="V9" i="23"/>
  <c r="U9" i="23"/>
  <c r="H9" i="23"/>
  <c r="F9" i="23"/>
  <c r="D9" i="23"/>
  <c r="C9" i="23"/>
  <c r="AL19" i="22"/>
  <c r="AK19" i="22"/>
  <c r="AK9" i="22" s="1"/>
  <c r="AI19" i="22"/>
  <c r="AI9" i="22" s="1"/>
  <c r="AH19" i="22"/>
  <c r="AH9" i="22" s="1"/>
  <c r="AD19" i="22"/>
  <c r="AD9" i="22" s="1"/>
  <c r="AB9" i="22"/>
  <c r="W9" i="22"/>
  <c r="X18" i="22"/>
  <c r="B18" i="22" s="1"/>
  <c r="B17" i="22"/>
  <c r="B16" i="22"/>
  <c r="B15" i="22"/>
  <c r="B14" i="22"/>
  <c r="B13" i="22"/>
  <c r="B12" i="22"/>
  <c r="B11" i="22"/>
  <c r="B10" i="22"/>
  <c r="AS9" i="22"/>
  <c r="AR9" i="22"/>
  <c r="AQ9" i="22"/>
  <c r="AP9" i="22"/>
  <c r="AO9" i="22"/>
  <c r="AN9" i="22"/>
  <c r="AM9" i="22"/>
  <c r="AJ9" i="22"/>
  <c r="AG9" i="22"/>
  <c r="AF9" i="22"/>
  <c r="AE9" i="22"/>
  <c r="AC9" i="22"/>
  <c r="AA9" i="22"/>
  <c r="Z9" i="22"/>
  <c r="V9" i="22"/>
  <c r="U9" i="22"/>
  <c r="H9" i="22"/>
  <c r="F9" i="22"/>
  <c r="X9" i="22" l="1"/>
  <c r="S9" i="22"/>
  <c r="T9" i="22"/>
  <c r="T9" i="23"/>
  <c r="E17" i="23"/>
  <c r="B17" i="23" s="1"/>
  <c r="AB9" i="23"/>
  <c r="E19" i="23"/>
  <c r="B19" i="23" s="1"/>
  <c r="S9" i="23"/>
  <c r="AD9" i="23"/>
  <c r="B19" i="22"/>
  <c r="B9" i="22" s="1"/>
  <c r="E9" i="23" l="1"/>
  <c r="B9" i="23" s="1"/>
  <c r="E9" i="22"/>
  <c r="I8" i="19" l="1"/>
  <c r="AX12" i="18" l="1"/>
  <c r="C12" i="18" s="1"/>
  <c r="BH14" i="19" l="1"/>
  <c r="AZ9" i="19"/>
  <c r="BH9" i="19"/>
  <c r="AZ12" i="19"/>
  <c r="BF14" i="18"/>
  <c r="BF9" i="18"/>
  <c r="AX9" i="18"/>
  <c r="Q11" i="18" l="1"/>
  <c r="Q7" i="18" s="1"/>
  <c r="AP11" i="19" l="1"/>
  <c r="AP7" i="19" s="1"/>
  <c r="AI11" i="19"/>
  <c r="AI7" i="19" s="1"/>
  <c r="AF11" i="19"/>
  <c r="AF7" i="19" s="1"/>
  <c r="AC11" i="19"/>
  <c r="AC7" i="19" s="1"/>
  <c r="AB11" i="18"/>
  <c r="AB7" i="18" s="1"/>
  <c r="C16" i="19"/>
  <c r="C15" i="19"/>
  <c r="C14" i="19"/>
  <c r="C13" i="19"/>
  <c r="C12" i="19"/>
  <c r="BK11" i="19"/>
  <c r="BK7" i="19" s="1"/>
  <c r="BJ11" i="19"/>
  <c r="BJ7" i="19" s="1"/>
  <c r="BI11" i="19"/>
  <c r="BI7" i="19" s="1"/>
  <c r="BH11" i="19"/>
  <c r="BH7" i="19" s="1"/>
  <c r="BE11" i="19"/>
  <c r="BE7" i="19" s="1"/>
  <c r="BA11" i="19"/>
  <c r="BA7" i="19" s="1"/>
  <c r="AZ11" i="19"/>
  <c r="AZ7" i="19" s="1"/>
  <c r="AY11" i="19"/>
  <c r="AY7" i="19" s="1"/>
  <c r="AW11" i="19"/>
  <c r="AW7" i="19" s="1"/>
  <c r="AT11" i="19"/>
  <c r="AT7" i="19" s="1"/>
  <c r="AU11" i="19"/>
  <c r="AU7" i="19" s="1"/>
  <c r="AS11" i="19"/>
  <c r="AS7" i="19" s="1"/>
  <c r="AO11" i="19"/>
  <c r="AO7" i="19" s="1"/>
  <c r="AJ11" i="19"/>
  <c r="AJ7" i="19" s="1"/>
  <c r="AH11" i="19"/>
  <c r="AH7" i="19" s="1"/>
  <c r="AD11" i="19"/>
  <c r="AD7" i="19" s="1"/>
  <c r="AB11" i="19"/>
  <c r="AB7" i="19" s="1"/>
  <c r="AA11" i="19"/>
  <c r="AA7" i="19" s="1"/>
  <c r="S11" i="19"/>
  <c r="S7" i="19" s="1"/>
  <c r="Q11" i="19"/>
  <c r="Q7" i="19" s="1"/>
  <c r="L11" i="19"/>
  <c r="L7" i="19" s="1"/>
  <c r="I11" i="19"/>
  <c r="I7" i="19" s="1"/>
  <c r="F11" i="19"/>
  <c r="F7" i="19" s="1"/>
  <c r="E11" i="19"/>
  <c r="E7" i="19" s="1"/>
  <c r="D11" i="19"/>
  <c r="D7" i="19" s="1"/>
  <c r="C10" i="19"/>
  <c r="C9" i="19"/>
  <c r="C8" i="19"/>
  <c r="C16" i="18"/>
  <c r="C15" i="18"/>
  <c r="C14" i="18"/>
  <c r="C13" i="18"/>
  <c r="BH11" i="18"/>
  <c r="BH7" i="18" s="1"/>
  <c r="BG11" i="18"/>
  <c r="BG7" i="18" s="1"/>
  <c r="BF11" i="18"/>
  <c r="BF7" i="18" s="1"/>
  <c r="BC11" i="18"/>
  <c r="BC7" i="18" s="1"/>
  <c r="AY11" i="18"/>
  <c r="AY7" i="18" s="1"/>
  <c r="AX11" i="18"/>
  <c r="AX7" i="18" s="1"/>
  <c r="AW11" i="18"/>
  <c r="AW7" i="18" s="1"/>
  <c r="AU11" i="18"/>
  <c r="AR11" i="18"/>
  <c r="AR7" i="18" s="1"/>
  <c r="AS11" i="18"/>
  <c r="AS7" i="18" s="1"/>
  <c r="AQ11" i="18"/>
  <c r="AQ7" i="18" s="1"/>
  <c r="AM11" i="18"/>
  <c r="AM7" i="18" s="1"/>
  <c r="AH11" i="18"/>
  <c r="AH7" i="18" s="1"/>
  <c r="AG11" i="18"/>
  <c r="AG7" i="18" s="1"/>
  <c r="AC11" i="18"/>
  <c r="AC7" i="18" s="1"/>
  <c r="AA11" i="18"/>
  <c r="AA7" i="18" s="1"/>
  <c r="Y11" i="18"/>
  <c r="Y7" i="18" s="1"/>
  <c r="S11" i="18"/>
  <c r="S7" i="18" s="1"/>
  <c r="L11" i="18"/>
  <c r="L7" i="18" s="1"/>
  <c r="F11" i="18"/>
  <c r="F7" i="18" s="1"/>
  <c r="E11" i="18"/>
  <c r="E7" i="18" s="1"/>
  <c r="C10" i="18"/>
  <c r="C9" i="18"/>
  <c r="C8" i="18"/>
  <c r="C7" i="19" l="1"/>
  <c r="AU7" i="18"/>
  <c r="C11" i="18"/>
  <c r="B12" i="18"/>
  <c r="B15" i="19"/>
  <c r="B13" i="18"/>
  <c r="B14" i="18"/>
  <c r="B9" i="18"/>
  <c r="B15" i="18"/>
  <c r="B10" i="19"/>
  <c r="B14" i="19"/>
  <c r="B16" i="19"/>
  <c r="B16" i="18"/>
  <c r="B12" i="19"/>
  <c r="B9" i="19"/>
  <c r="B8" i="18"/>
  <c r="B10" i="18"/>
  <c r="B13" i="19"/>
  <c r="B8" i="19"/>
  <c r="C11" i="19"/>
  <c r="C7" i="18" l="1"/>
  <c r="B11" i="19"/>
  <c r="B11" i="18"/>
  <c r="B7" i="19"/>
  <c r="B7" i="18" l="1"/>
</calcChain>
</file>

<file path=xl/comments1.xml><?xml version="1.0" encoding="utf-8"?>
<comments xmlns="http://schemas.openxmlformats.org/spreadsheetml/2006/main">
  <authors>
    <author>SD</author>
  </authors>
  <commentList>
    <comment ref="K8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감사인력</t>
        </r>
        <r>
          <rPr>
            <sz val="9"/>
            <color indexed="81"/>
            <rFont val="Tahoma"/>
            <family val="2"/>
          </rPr>
          <t xml:space="preserve"> : +1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(5</t>
        </r>
        <r>
          <rPr>
            <sz val="9"/>
            <color indexed="81"/>
            <rFont val="돋움"/>
            <family val="3"/>
            <charset val="129"/>
          </rPr>
          <t>급</t>
        </r>
        <r>
          <rPr>
            <sz val="9"/>
            <color indexed="81"/>
            <rFont val="Tahoma"/>
            <family val="2"/>
          </rPr>
          <t xml:space="preserve"> 1)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감사인력</t>
        </r>
        <r>
          <rPr>
            <sz val="9"/>
            <color indexed="81"/>
            <rFont val="Tahoma"/>
            <family val="2"/>
          </rPr>
          <t xml:space="preserve"> : +1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(5</t>
        </r>
        <r>
          <rPr>
            <sz val="9"/>
            <color indexed="81"/>
            <rFont val="돋움"/>
            <family val="3"/>
            <charset val="129"/>
          </rPr>
          <t>급</t>
        </r>
        <r>
          <rPr>
            <sz val="9"/>
            <color indexed="81"/>
            <rFont val="Tahoma"/>
            <family val="2"/>
          </rPr>
          <t xml:space="preserve"> 1)</t>
        </r>
      </text>
    </comment>
    <comment ref="T14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감사인력</t>
        </r>
        <r>
          <rPr>
            <sz val="9"/>
            <color indexed="81"/>
            <rFont val="Tahoma"/>
            <family val="2"/>
          </rPr>
          <t xml:space="preserve"> : +3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(6</t>
        </r>
        <r>
          <rPr>
            <sz val="9"/>
            <color indexed="81"/>
            <rFont val="돋움"/>
            <family val="3"/>
            <charset val="129"/>
          </rPr>
          <t>급</t>
        </r>
        <r>
          <rPr>
            <sz val="9"/>
            <color indexed="81"/>
            <rFont val="Tahoma"/>
            <family val="2"/>
          </rPr>
          <t xml:space="preserve"> 3)</t>
        </r>
      </text>
    </comment>
  </commentList>
</comments>
</file>

<file path=xl/comments2.xml><?xml version="1.0" encoding="utf-8"?>
<comments xmlns="http://schemas.openxmlformats.org/spreadsheetml/2006/main">
  <authors>
    <author>SD</author>
  </authors>
  <commentList>
    <comment ref="K8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감사인력</t>
        </r>
        <r>
          <rPr>
            <sz val="9"/>
            <color indexed="81"/>
            <rFont val="Tahoma"/>
            <family val="2"/>
          </rPr>
          <t xml:space="preserve"> : +1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(5</t>
        </r>
        <r>
          <rPr>
            <sz val="9"/>
            <color indexed="81"/>
            <rFont val="돋움"/>
            <family val="3"/>
            <charset val="129"/>
          </rPr>
          <t>급</t>
        </r>
        <r>
          <rPr>
            <sz val="9"/>
            <color indexed="81"/>
            <rFont val="Tahoma"/>
            <family val="2"/>
          </rPr>
          <t xml:space="preserve"> 1)</t>
        </r>
      </text>
    </comment>
    <comment ref="S14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감사인력</t>
        </r>
        <r>
          <rPr>
            <sz val="9"/>
            <color indexed="81"/>
            <rFont val="Tahoma"/>
            <family val="2"/>
          </rPr>
          <t xml:space="preserve"> : +1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(5</t>
        </r>
        <r>
          <rPr>
            <sz val="9"/>
            <color indexed="81"/>
            <rFont val="돋움"/>
            <family val="3"/>
            <charset val="129"/>
          </rPr>
          <t>급</t>
        </r>
        <r>
          <rPr>
            <sz val="9"/>
            <color indexed="81"/>
            <rFont val="Tahoma"/>
            <family val="2"/>
          </rPr>
          <t xml:space="preserve"> 1)</t>
        </r>
      </text>
    </comment>
    <comment ref="T14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감사인력</t>
        </r>
        <r>
          <rPr>
            <sz val="9"/>
            <color indexed="81"/>
            <rFont val="Tahoma"/>
            <family val="2"/>
          </rPr>
          <t xml:space="preserve"> : +3</t>
        </r>
        <r>
          <rPr>
            <sz val="9"/>
            <color indexed="81"/>
            <rFont val="돋움"/>
            <family val="3"/>
            <charset val="129"/>
          </rPr>
          <t>명</t>
        </r>
        <r>
          <rPr>
            <sz val="9"/>
            <color indexed="81"/>
            <rFont val="Tahoma"/>
            <family val="2"/>
          </rPr>
          <t>(6</t>
        </r>
        <r>
          <rPr>
            <sz val="9"/>
            <color indexed="81"/>
            <rFont val="돋움"/>
            <family val="3"/>
            <charset val="129"/>
          </rPr>
          <t>급</t>
        </r>
        <r>
          <rPr>
            <sz val="9"/>
            <color indexed="81"/>
            <rFont val="Tahoma"/>
            <family val="2"/>
          </rPr>
          <t xml:space="preserve"> 3)</t>
        </r>
      </text>
    </comment>
  </commentList>
</comments>
</file>

<file path=xl/comments3.xml><?xml version="1.0" encoding="utf-8"?>
<comments xmlns="http://schemas.openxmlformats.org/spreadsheetml/2006/main">
  <authors>
    <author>SD</author>
  </authors>
  <commentList>
    <comment ref="AP9" authorId="0" shapeId="0">
      <text>
        <r>
          <rPr>
            <b/>
            <sz val="12"/>
            <color indexed="81"/>
            <rFont val="Tahoma"/>
            <family val="2"/>
          </rPr>
          <t xml:space="preserve">SD:
</t>
        </r>
        <r>
          <rPr>
            <b/>
            <sz val="12"/>
            <color indexed="81"/>
            <rFont val="돋움"/>
            <family val="3"/>
            <charset val="129"/>
          </rPr>
          <t>관리운영직군을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과학기술긱군으로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전환</t>
        </r>
        <r>
          <rPr>
            <b/>
            <sz val="12"/>
            <color indexed="81"/>
            <rFont val="Tahoma"/>
            <family val="2"/>
          </rPr>
          <t xml:space="preserve"> +1</t>
        </r>
        <r>
          <rPr>
            <b/>
            <sz val="12"/>
            <color indexed="81"/>
            <rFont val="돋움"/>
            <family val="3"/>
            <charset val="129"/>
          </rPr>
          <t>명</t>
        </r>
      </text>
    </comment>
    <comment ref="BD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>관리운영직군</t>
        </r>
        <r>
          <rPr>
            <b/>
            <sz val="12"/>
            <color indexed="81"/>
            <rFont val="Tahoma"/>
            <family val="2"/>
          </rPr>
          <t xml:space="preserve"> -1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</t>
        </r>
      </text>
    </comment>
  </commentList>
</comments>
</file>

<file path=xl/comments4.xml><?xml version="1.0" encoding="utf-8"?>
<comments xmlns="http://schemas.openxmlformats.org/spreadsheetml/2006/main">
  <authors>
    <author>SD</author>
  </authors>
  <commentList>
    <comment ref="U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-4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</t>
        </r>
      </text>
    </comment>
    <comment ref="AL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-26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</t>
        </r>
      </text>
    </comment>
    <comment ref="AR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+30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>관리운영직군을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과학기술긱군으로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전환</t>
        </r>
        <r>
          <rPr>
            <b/>
            <sz val="12"/>
            <color indexed="81"/>
            <rFont val="Tahoma"/>
            <family val="2"/>
          </rPr>
          <t xml:space="preserve"> +1</t>
        </r>
        <r>
          <rPr>
            <b/>
            <sz val="12"/>
            <color indexed="81"/>
            <rFont val="돋움"/>
            <family val="3"/>
            <charset val="129"/>
          </rPr>
          <t>명</t>
        </r>
      </text>
    </comment>
    <comment ref="BF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>관리운영직군</t>
        </r>
        <r>
          <rPr>
            <b/>
            <sz val="12"/>
            <color indexed="81"/>
            <rFont val="Tahoma"/>
            <family val="2"/>
          </rPr>
          <t xml:space="preserve"> -1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</t>
        </r>
      </text>
    </comment>
    <comment ref="U11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-2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</t>
        </r>
      </text>
    </comment>
    <comment ref="AR11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+2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</t>
        </r>
      </text>
    </comment>
    <comment ref="U15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-1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</t>
        </r>
      </text>
    </comment>
    <comment ref="AR15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+1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</t>
        </r>
      </text>
    </comment>
    <comment ref="U16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-1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</t>
        </r>
      </text>
    </comment>
    <comment ref="AR16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+1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</t>
        </r>
      </text>
    </comment>
  </commentList>
</comments>
</file>

<file path=xl/comments5.xml><?xml version="1.0" encoding="utf-8"?>
<comments xmlns="http://schemas.openxmlformats.org/spreadsheetml/2006/main">
  <authors>
    <author>SD</author>
  </authors>
  <commentList>
    <comment ref="U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+1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</t>
        </r>
      </text>
    </comment>
    <comment ref="AL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+1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</t>
        </r>
      </text>
    </comment>
    <comment ref="AR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-2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
관리운영직군을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과학기술긱군으로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전환</t>
        </r>
        <r>
          <rPr>
            <b/>
            <sz val="12"/>
            <color indexed="81"/>
            <rFont val="Tahoma"/>
            <family val="2"/>
          </rPr>
          <t xml:space="preserve"> +1</t>
        </r>
        <r>
          <rPr>
            <b/>
            <sz val="12"/>
            <color indexed="81"/>
            <rFont val="돋움"/>
            <family val="3"/>
            <charset val="129"/>
          </rPr>
          <t>명</t>
        </r>
      </text>
    </comment>
    <comment ref="BF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>관리운영직군</t>
        </r>
        <r>
          <rPr>
            <b/>
            <sz val="12"/>
            <color indexed="81"/>
            <rFont val="Tahoma"/>
            <family val="2"/>
          </rPr>
          <t xml:space="preserve"> -1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</t>
        </r>
      </text>
    </comment>
  </commentList>
</comments>
</file>

<file path=xl/comments6.xml><?xml version="1.0" encoding="utf-8"?>
<comments xmlns="http://schemas.openxmlformats.org/spreadsheetml/2006/main">
  <authors>
    <author>SD</author>
  </authors>
  <commentList>
    <comment ref="U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b/>
            <sz val="12"/>
            <color indexed="81"/>
            <rFont val="Tahoma"/>
            <family val="2"/>
          </rPr>
          <t xml:space="preserve">
+3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
환원조치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완료</t>
        </r>
      </text>
    </comment>
    <comment ref="AL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+</t>
        </r>
        <r>
          <rPr>
            <b/>
            <sz val="12"/>
            <color indexed="81"/>
            <rFont val="Tahoma"/>
            <family val="2"/>
          </rPr>
          <t>14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</t>
        </r>
      </text>
    </comment>
    <comment ref="AR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-17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
관리운영직군을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과학기술긱군으로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전환</t>
        </r>
        <r>
          <rPr>
            <b/>
            <sz val="12"/>
            <color indexed="81"/>
            <rFont val="Tahoma"/>
            <family val="2"/>
          </rPr>
          <t xml:space="preserve"> +1</t>
        </r>
        <r>
          <rPr>
            <b/>
            <sz val="12"/>
            <color indexed="81"/>
            <rFont val="돋움"/>
            <family val="3"/>
            <charset val="129"/>
          </rPr>
          <t>명</t>
        </r>
      </text>
    </comment>
    <comment ref="BF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>관리운영직군</t>
        </r>
        <r>
          <rPr>
            <b/>
            <sz val="12"/>
            <color indexed="81"/>
            <rFont val="Tahoma"/>
            <family val="2"/>
          </rPr>
          <t xml:space="preserve"> -1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</t>
        </r>
      </text>
    </comment>
    <comment ref="U11" authorId="0" shapeId="0">
      <text>
        <r>
          <rPr>
            <b/>
            <sz val="12"/>
            <color indexed="81"/>
            <rFont val="Tahoma"/>
            <family val="2"/>
          </rPr>
          <t>SD:
+2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
환원조치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완료</t>
        </r>
      </text>
    </comment>
    <comment ref="AR11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-1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
환원조치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완료</t>
        </r>
      </text>
    </comment>
    <comment ref="U15" authorId="0" shapeId="0">
      <text>
        <r>
          <rPr>
            <b/>
            <sz val="12"/>
            <color indexed="81"/>
            <rFont val="Tahoma"/>
            <family val="2"/>
          </rPr>
          <t>SD:
+1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
환원조치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완료</t>
        </r>
      </text>
    </comment>
    <comment ref="AR15" authorId="0" shapeId="0">
      <text>
        <r>
          <rPr>
            <b/>
            <sz val="12"/>
            <color indexed="81"/>
            <rFont val="Tahoma"/>
            <family val="2"/>
          </rPr>
          <t>SD:
-1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
환원조치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완료</t>
        </r>
      </text>
    </comment>
    <comment ref="U16" authorId="0" shapeId="0">
      <text>
        <r>
          <rPr>
            <b/>
            <sz val="12"/>
            <color indexed="81"/>
            <rFont val="Tahoma"/>
            <family val="2"/>
          </rPr>
          <t>SD:
+1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
환원조치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완료</t>
        </r>
      </text>
    </comment>
    <comment ref="AR16" authorId="0" shapeId="0">
      <text>
        <r>
          <rPr>
            <b/>
            <sz val="12"/>
            <color indexed="81"/>
            <rFont val="Tahoma"/>
            <family val="2"/>
          </rPr>
          <t>SD:
-1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
환원조치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완료</t>
        </r>
      </text>
    </comment>
  </commentList>
</comments>
</file>

<file path=xl/comments7.xml><?xml version="1.0" encoding="utf-8"?>
<comments xmlns="http://schemas.openxmlformats.org/spreadsheetml/2006/main">
  <authors>
    <author>SD</author>
  </authors>
  <commentList>
    <comment ref="AL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+11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증원
환원조치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완료</t>
        </r>
      </text>
    </comment>
    <comment ref="AR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Tahoma"/>
            <family val="2"/>
          </rPr>
          <t>-11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
환원조치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완료
관리운영직군을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과학기술긱군으로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전환</t>
        </r>
        <r>
          <rPr>
            <b/>
            <sz val="12"/>
            <color indexed="81"/>
            <rFont val="Tahoma"/>
            <family val="2"/>
          </rPr>
          <t xml:space="preserve"> +1</t>
        </r>
        <r>
          <rPr>
            <b/>
            <sz val="12"/>
            <color indexed="81"/>
            <rFont val="돋움"/>
            <family val="3"/>
            <charset val="129"/>
          </rPr>
          <t>명</t>
        </r>
      </text>
    </comment>
    <comment ref="BF9" authorId="0" shapeId="0">
      <text>
        <r>
          <rPr>
            <b/>
            <sz val="9"/>
            <color indexed="81"/>
            <rFont val="Tahoma"/>
            <family val="2"/>
          </rPr>
          <t>SD: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12"/>
            <color indexed="81"/>
            <rFont val="돋움"/>
            <family val="3"/>
            <charset val="129"/>
          </rPr>
          <t>관리운영직군</t>
        </r>
        <r>
          <rPr>
            <b/>
            <sz val="12"/>
            <color indexed="81"/>
            <rFont val="Tahoma"/>
            <family val="2"/>
          </rPr>
          <t xml:space="preserve"> -1</t>
        </r>
        <r>
          <rPr>
            <b/>
            <sz val="12"/>
            <color indexed="81"/>
            <rFont val="돋움"/>
            <family val="3"/>
            <charset val="129"/>
          </rPr>
          <t>명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감원</t>
        </r>
      </text>
    </comment>
  </commentList>
</comments>
</file>

<file path=xl/sharedStrings.xml><?xml version="1.0" encoding="utf-8"?>
<sst xmlns="http://schemas.openxmlformats.org/spreadsheetml/2006/main" count="646" uniqueCount="271">
  <si>
    <t>(별표 1)</t>
    <phoneticPr fontId="1" type="noConversion"/>
  </si>
  <si>
    <t>산림청(본청) 운영 정원표</t>
    <phoneticPr fontId="2" type="noConversion"/>
  </si>
  <si>
    <t>(단위 : 명)</t>
    <phoneticPr fontId="2" type="noConversion"/>
  </si>
  <si>
    <t>산림청(본청) 기준 정원표</t>
    <phoneticPr fontId="2" type="noConversion"/>
  </si>
  <si>
    <t>(별표 1의2)</t>
    <phoneticPr fontId="1" type="noConversion"/>
  </si>
  <si>
    <t xml:space="preserve">            직급별 
조직별</t>
    <phoneticPr fontId="2" type="noConversion"/>
  </si>
  <si>
    <t>총
계</t>
    <phoneticPr fontId="2" type="noConversion"/>
  </si>
  <si>
    <t>정무직</t>
    <phoneticPr fontId="2" type="noConversion"/>
  </si>
  <si>
    <t>별정직</t>
    <phoneticPr fontId="1" type="noConversion"/>
  </si>
  <si>
    <t xml:space="preserve">   일      반       직</t>
    <phoneticPr fontId="2" type="noConversion"/>
  </si>
  <si>
    <t xml:space="preserve">
청
장</t>
    <phoneticPr fontId="2" type="noConversion"/>
  </si>
  <si>
    <t xml:space="preserve">
비
서
9
급
상
당</t>
    <phoneticPr fontId="2" type="noConversion"/>
  </si>
  <si>
    <t>3·4급, 4급</t>
    <phoneticPr fontId="2" type="noConversion"/>
  </si>
  <si>
    <t>4 ·5급, 5급</t>
    <phoneticPr fontId="2" type="noConversion"/>
  </si>
  <si>
    <t>7급</t>
    <phoneticPr fontId="1" type="noConversion"/>
  </si>
  <si>
    <t>9급</t>
    <phoneticPr fontId="1" type="noConversion"/>
  </si>
  <si>
    <t>전문경력관</t>
    <phoneticPr fontId="1" type="noConversion"/>
  </si>
  <si>
    <t>행
정
주
사
또
는
임
업
주
사</t>
    <phoneticPr fontId="2" type="noConversion"/>
  </si>
  <si>
    <t>전
산
주
사</t>
    <phoneticPr fontId="2" type="noConversion"/>
  </si>
  <si>
    <t>사무운영서기보</t>
    <phoneticPr fontId="2" type="noConversion"/>
  </si>
  <si>
    <t>총 계</t>
    <phoneticPr fontId="1" type="noConversion"/>
  </si>
  <si>
    <t>산림산업정책국</t>
    <phoneticPr fontId="1" type="noConversion"/>
  </si>
  <si>
    <t>소
계</t>
    <phoneticPr fontId="2" type="noConversion"/>
  </si>
  <si>
    <t xml:space="preserve">고
위
공
무
원
단
</t>
    <phoneticPr fontId="2" type="noConversion"/>
  </si>
  <si>
    <t>6급</t>
    <phoneticPr fontId="1" type="noConversion"/>
  </si>
  <si>
    <t>8급</t>
    <phoneticPr fontId="2" type="noConversion"/>
  </si>
  <si>
    <t>행전
정산
주주
사사
·  
임
업
주
사
또
는</t>
    <phoneticPr fontId="2" type="noConversion"/>
  </si>
  <si>
    <t>특정직</t>
    <phoneticPr fontId="1" type="noConversion"/>
  </si>
  <si>
    <t>(별표 2)</t>
    <phoneticPr fontId="2" type="noConversion"/>
  </si>
  <si>
    <t>소속기관 기준 정원표</t>
    <phoneticPr fontId="2" type="noConversion"/>
  </si>
  <si>
    <t>(별표 2의2)</t>
    <phoneticPr fontId="2" type="noConversion"/>
  </si>
  <si>
    <t>소속기관 운영 정원표</t>
    <phoneticPr fontId="2" type="noConversion"/>
  </si>
  <si>
    <t>소방직</t>
    <phoneticPr fontId="1" type="noConversion"/>
  </si>
  <si>
    <t>소방경</t>
    <phoneticPr fontId="1" type="noConversion"/>
  </si>
  <si>
    <t>관리
운영직</t>
    <phoneticPr fontId="1" type="noConversion"/>
  </si>
  <si>
    <t>청 장 실</t>
    <phoneticPr fontId="2" type="noConversion"/>
  </si>
  <si>
    <t>차 장 실</t>
    <phoneticPr fontId="2" type="noConversion"/>
  </si>
  <si>
    <t>대변인</t>
    <phoneticPr fontId="2" type="noConversion"/>
  </si>
  <si>
    <t>운영지원과</t>
    <phoneticPr fontId="2" type="noConversion"/>
  </si>
  <si>
    <t>기획조정관실</t>
    <phoneticPr fontId="1" type="noConversion"/>
  </si>
  <si>
    <t>5급</t>
    <phoneticPr fontId="1" type="noConversion"/>
  </si>
  <si>
    <t>연구직</t>
    <phoneticPr fontId="2" type="noConversion"/>
  </si>
  <si>
    <t>고위공무원단 소속 일반직</t>
    <phoneticPr fontId="2" type="noConversion"/>
  </si>
  <si>
    <t>행정사무관·임업사무관 또는 임업연구관</t>
    <phoneticPr fontId="2" type="noConversion"/>
  </si>
  <si>
    <t>행정주사 또는 임업주사</t>
    <phoneticPr fontId="2" type="noConversion"/>
  </si>
  <si>
    <t>공업주사보 또는 시설주사보</t>
    <phoneticPr fontId="1" type="noConversion"/>
  </si>
  <si>
    <t>항공주사보(일반항공)</t>
    <phoneticPr fontId="2" type="noConversion"/>
  </si>
  <si>
    <t xml:space="preserve">행정서기·임업서기 또는 항공서기 </t>
    <phoneticPr fontId="2" type="noConversion"/>
  </si>
  <si>
    <t>임업서기</t>
    <phoneticPr fontId="2" type="noConversion"/>
  </si>
  <si>
    <t>운전서기</t>
    <phoneticPr fontId="2" type="noConversion"/>
  </si>
  <si>
    <t>임업서기보</t>
    <phoneticPr fontId="2" type="noConversion"/>
  </si>
  <si>
    <t>산림보호운영서기</t>
    <phoneticPr fontId="2" type="noConversion"/>
  </si>
  <si>
    <t>산림보호운영서기보</t>
    <phoneticPr fontId="2" type="noConversion"/>
  </si>
  <si>
    <t>통신운영서기보</t>
    <phoneticPr fontId="2" type="noConversion"/>
  </si>
  <si>
    <t>농림운영서기보</t>
    <phoneticPr fontId="2" type="noConversion"/>
  </si>
  <si>
    <t>가군(교수 담당)</t>
    <phoneticPr fontId="2" type="noConversion"/>
  </si>
  <si>
    <t>총    계</t>
    <phoneticPr fontId="2" type="noConversion"/>
  </si>
  <si>
    <t>산림교육원</t>
    <phoneticPr fontId="2" type="noConversion"/>
  </si>
  <si>
    <t>산림항공본부</t>
    <phoneticPr fontId="2" type="noConversion"/>
  </si>
  <si>
    <t>5개 지방산림청 소계</t>
    <phoneticPr fontId="2" type="noConversion"/>
  </si>
  <si>
    <t>북부지방산림청</t>
    <phoneticPr fontId="2" type="noConversion"/>
  </si>
  <si>
    <t>동부지방산림청</t>
    <phoneticPr fontId="2" type="noConversion"/>
  </si>
  <si>
    <t>남부지방산림청</t>
    <phoneticPr fontId="2" type="noConversion"/>
  </si>
  <si>
    <t>중부지방산림청</t>
    <phoneticPr fontId="2" type="noConversion"/>
  </si>
  <si>
    <t>서부지방산림청</t>
    <phoneticPr fontId="2" type="noConversion"/>
  </si>
  <si>
    <t>관리운영직</t>
    <phoneticPr fontId="1" type="noConversion"/>
  </si>
  <si>
    <t>방송통신주사</t>
    <phoneticPr fontId="2" type="noConversion"/>
  </si>
  <si>
    <t>국제산림협력관실</t>
    <phoneticPr fontId="1" type="noConversion"/>
  </si>
  <si>
    <t>산림복지국</t>
    <phoneticPr fontId="1" type="noConversion"/>
  </si>
  <si>
    <t>산림보호국</t>
    <phoneticPr fontId="1" type="noConversion"/>
  </si>
  <si>
    <t>행정사무관 또는 임업사무관</t>
    <phoneticPr fontId="2" type="noConversion"/>
  </si>
  <si>
    <t>행정사무관·임업사무관 또는 항공사무관</t>
    <phoneticPr fontId="2" type="noConversion"/>
  </si>
  <si>
    <t>또는 임업연구관
행정사무관·임업사무관관·간호사무관</t>
    <phoneticPr fontId="2" type="noConversion"/>
  </si>
  <si>
    <t>행정주사·임업주사 또는 항공주사</t>
    <phoneticPr fontId="2" type="noConversion"/>
  </si>
  <si>
    <t>임업주사</t>
    <phoneticPr fontId="2" type="noConversion"/>
  </si>
  <si>
    <t>항공주사(일반)</t>
    <phoneticPr fontId="2" type="noConversion"/>
  </si>
  <si>
    <t>항공주사(조종사)</t>
    <phoneticPr fontId="2" type="noConversion"/>
  </si>
  <si>
    <t>항공주사(정비사)</t>
    <phoneticPr fontId="2" type="noConversion"/>
  </si>
  <si>
    <t>운전주사</t>
    <phoneticPr fontId="2" type="noConversion"/>
  </si>
  <si>
    <t>행정주사보 또는 임업주사보</t>
    <phoneticPr fontId="2" type="noConversion"/>
  </si>
  <si>
    <t>해양수산주사보</t>
    <phoneticPr fontId="1" type="noConversion"/>
  </si>
  <si>
    <t>보건주사보</t>
    <phoneticPr fontId="1" type="noConversion"/>
  </si>
  <si>
    <t>전산주사보</t>
    <phoneticPr fontId="2" type="noConversion"/>
  </si>
  <si>
    <t>방송통신주사보</t>
    <phoneticPr fontId="2" type="noConversion"/>
  </si>
  <si>
    <t>행정주사보·임업주사보 또는 임업연구사</t>
    <phoneticPr fontId="2" type="noConversion"/>
  </si>
  <si>
    <t>행정주사보·임업주사보 또는 공업주사보</t>
    <phoneticPr fontId="2" type="noConversion"/>
  </si>
  <si>
    <t>행정주사보·임업주사보 또는 시설주사보</t>
    <phoneticPr fontId="2" type="noConversion"/>
  </si>
  <si>
    <t>행정주사보·임업주사보 또는 전산주사보</t>
    <phoneticPr fontId="2" type="noConversion"/>
  </si>
  <si>
    <t>임업주사보</t>
    <phoneticPr fontId="2" type="noConversion"/>
  </si>
  <si>
    <t>항공주사보(정비사)</t>
    <phoneticPr fontId="2" type="noConversion"/>
  </si>
  <si>
    <t>햏정서기 또는 임업서기</t>
    <phoneticPr fontId="2" type="noConversion"/>
  </si>
  <si>
    <t xml:space="preserve">행정서기·임업서기 또는 공업서기 </t>
    <phoneticPr fontId="2" type="noConversion"/>
  </si>
  <si>
    <t>해양수산서기</t>
    <phoneticPr fontId="2" type="noConversion"/>
  </si>
  <si>
    <t>방송통신서기</t>
    <phoneticPr fontId="2" type="noConversion"/>
  </si>
  <si>
    <t>행정서기보 또는 임업서기보</t>
    <phoneticPr fontId="2" type="noConversion"/>
  </si>
  <si>
    <t>기계운영서기</t>
    <phoneticPr fontId="2" type="noConversion"/>
  </si>
  <si>
    <t>열관리운영서기보</t>
    <phoneticPr fontId="2" type="noConversion"/>
  </si>
  <si>
    <t>산림재난통제관</t>
    <phoneticPr fontId="1" type="noConversion"/>
  </si>
  <si>
    <t xml:space="preserve">                직급별 
조직별</t>
    <phoneticPr fontId="2" type="noConversion"/>
  </si>
  <si>
    <t>총
계</t>
    <phoneticPr fontId="2" type="noConversion"/>
  </si>
  <si>
    <t xml:space="preserve">   일반직</t>
    <phoneticPr fontId="2" type="noConversion"/>
  </si>
  <si>
    <t>소
계</t>
    <phoneticPr fontId="2" type="noConversion"/>
  </si>
  <si>
    <t>고위</t>
    <phoneticPr fontId="2" type="noConversion"/>
  </si>
  <si>
    <t>3·4급</t>
    <phoneticPr fontId="2" type="noConversion"/>
  </si>
  <si>
    <t>4급</t>
    <phoneticPr fontId="2" type="noConversion"/>
  </si>
  <si>
    <t>4·5급</t>
    <phoneticPr fontId="1" type="noConversion"/>
  </si>
  <si>
    <t>7급</t>
    <phoneticPr fontId="2" type="noConversion"/>
  </si>
  <si>
    <t>9급</t>
    <phoneticPr fontId="2" type="noConversion"/>
  </si>
  <si>
    <t>전문
경력관</t>
    <phoneticPr fontId="2" type="noConversion"/>
  </si>
  <si>
    <t>행정주사·임업주사 또는 방재안전주사</t>
    <phoneticPr fontId="2" type="noConversion"/>
  </si>
  <si>
    <t>운전주사보</t>
    <phoneticPr fontId="2" type="noConversion"/>
  </si>
  <si>
    <t>공업서기</t>
    <phoneticPr fontId="2" type="noConversion"/>
  </si>
  <si>
    <t>공업서기보</t>
    <phoneticPr fontId="2" type="noConversion"/>
  </si>
  <si>
    <t>방송통신서기보</t>
    <phoneticPr fontId="2" type="noConversion"/>
  </si>
  <si>
    <t>운전서기보</t>
    <phoneticPr fontId="2" type="noConversion"/>
  </si>
  <si>
    <t>방호서기보</t>
    <phoneticPr fontId="2" type="noConversion"/>
  </si>
  <si>
    <t>임업연구관</t>
    <phoneticPr fontId="2" type="noConversion"/>
  </si>
  <si>
    <t>임업연구사</t>
    <phoneticPr fontId="2" type="noConversion"/>
  </si>
  <si>
    <t>행항정공
주주
사사
·  
임
업
주
사
또
는</t>
    <phoneticPr fontId="2" type="noConversion"/>
  </si>
  <si>
    <t>행
정
서
기
또
는
임
업
서
기</t>
    <phoneticPr fontId="2" type="noConversion"/>
  </si>
  <si>
    <t>행
정
서
기
보
또
는
임
업
서
기
보</t>
    <phoneticPr fontId="2" type="noConversion"/>
  </si>
  <si>
    <t>가군(비상계획 담당)</t>
    <phoneticPr fontId="2" type="noConversion"/>
  </si>
  <si>
    <t>운
전
주
사
보</t>
    <phoneticPr fontId="2" type="noConversion"/>
  </si>
  <si>
    <t>전
산
서
기</t>
    <phoneticPr fontId="2" type="noConversion"/>
  </si>
  <si>
    <t>나군(온라인홍보 담당)</t>
    <phoneticPr fontId="2" type="noConversion"/>
  </si>
  <si>
    <t>전
산
주
사
보</t>
    <phoneticPr fontId="2" type="noConversion"/>
  </si>
  <si>
    <t>방
송
통
신
주
사
보</t>
    <phoneticPr fontId="2" type="noConversion"/>
  </si>
  <si>
    <t xml:space="preserve">행
정
사
무
관
또
는
임
업
사
무
관
</t>
    <phoneticPr fontId="2" type="noConversion"/>
  </si>
  <si>
    <t>전
산
사
무
관</t>
    <phoneticPr fontId="1" type="noConversion"/>
  </si>
  <si>
    <t>나군(촬영 담당)</t>
    <phoneticPr fontId="1" type="noConversion"/>
  </si>
  <si>
    <t xml:space="preserve"> </t>
    <phoneticPr fontId="1" type="noConversion"/>
  </si>
  <si>
    <t xml:space="preserve">또는 과학기술서기관
부이사관·서기관· </t>
    <phoneticPr fontId="2" type="noConversion"/>
  </si>
  <si>
    <t>과학기술서기관
서기관 또는</t>
    <phoneticPr fontId="2" type="noConversion"/>
  </si>
  <si>
    <t>행정사무관 또는 임업사무관
서기관·과학기술서기관·</t>
    <phoneticPr fontId="1" type="noConversion"/>
  </si>
  <si>
    <t>임업사무관 또는 전산사무관
서기관·과학기술서기관·행정사무관·</t>
    <phoneticPr fontId="1" type="noConversion"/>
  </si>
  <si>
    <t>가군(촬영 담당)</t>
    <phoneticPr fontId="1" type="noConversion"/>
  </si>
  <si>
    <t xml:space="preserve"> 행
 정
 주
 사
 보
 또
 는
 임
 업
 주
 사
 보</t>
    <phoneticPr fontId="2" type="noConversion"/>
  </si>
  <si>
    <t>전산주사보
행정주사보·임업주사보 또는</t>
    <phoneticPr fontId="1" type="noConversion"/>
  </si>
  <si>
    <t xml:space="preserve">            직급별 
조직별</t>
    <phoneticPr fontId="2" type="noConversion"/>
  </si>
  <si>
    <t>8급</t>
    <phoneticPr fontId="2" type="noConversion"/>
  </si>
  <si>
    <t>행기
정록
주연
사구
·  사
임
업
주
사
또
는</t>
    <phoneticPr fontId="2" type="noConversion"/>
  </si>
  <si>
    <t>방
송
통
신
주
사</t>
    <phoneticPr fontId="2" type="noConversion"/>
  </si>
  <si>
    <t>행또
정는
주
사전
보산
 · 주
임사
업보
주
사
보</t>
    <phoneticPr fontId="2" type="noConversion"/>
  </si>
  <si>
    <t>운전서기보</t>
    <phoneticPr fontId="2" type="noConversion"/>
  </si>
  <si>
    <t>사무운영서기보</t>
    <phoneticPr fontId="2" type="noConversion"/>
  </si>
  <si>
    <t>가군(촬영 담당)</t>
    <phoneticPr fontId="2" type="noConversion"/>
  </si>
  <si>
    <t>나군(촬영 담당)</t>
    <phoneticPr fontId="2" type="noConversion"/>
  </si>
  <si>
    <t>총액 증원7급 +1</t>
    <phoneticPr fontId="1" type="noConversion"/>
  </si>
  <si>
    <t>4.5급(스마트대응단→산림정책과)</t>
    <phoneticPr fontId="1" type="noConversion"/>
  </si>
  <si>
    <t>①5급(스마트대응단→산불방지과), ② 관리운영직군 전환</t>
    <phoneticPr fontId="1" type="noConversion"/>
  </si>
  <si>
    <t>수목원조성사업단 인력 감축</t>
    <phoneticPr fontId="1" type="noConversion"/>
  </si>
  <si>
    <t>부이사관·서기관 또는 과학기술서기관</t>
    <phoneticPr fontId="2" type="noConversion"/>
  </si>
  <si>
    <t>서기관 또는 과학기술서기관</t>
    <phoneticPr fontId="2" type="noConversion"/>
  </si>
  <si>
    <t>과학기술서기관</t>
    <phoneticPr fontId="2" type="noConversion"/>
  </si>
  <si>
    <t>서기관·과학기술서기관 또는 임업연구관</t>
    <phoneticPr fontId="2" type="noConversion"/>
  </si>
  <si>
    <t>또는 임업사무관
서기관·과학기술서기관·행정사무관</t>
    <phoneticPr fontId="1" type="noConversion"/>
  </si>
  <si>
    <t>임업사무관 또는 임업연구관
서기관·과학기술서기관·행정사무관·</t>
    <phoneticPr fontId="2" type="noConversion"/>
  </si>
  <si>
    <t xml:space="preserve">                직급별 
조직별</t>
    <phoneticPr fontId="2" type="noConversion"/>
  </si>
  <si>
    <t>총
계</t>
    <phoneticPr fontId="2" type="noConversion"/>
  </si>
  <si>
    <t xml:space="preserve">   일반직</t>
    <phoneticPr fontId="2" type="noConversion"/>
  </si>
  <si>
    <t>소
계</t>
    <phoneticPr fontId="2" type="noConversion"/>
  </si>
  <si>
    <t>고위</t>
    <phoneticPr fontId="2" type="noConversion"/>
  </si>
  <si>
    <t>3·4급</t>
    <phoneticPr fontId="2" type="noConversion"/>
  </si>
  <si>
    <t>4급</t>
    <phoneticPr fontId="2" type="noConversion"/>
  </si>
  <si>
    <t>4·5급</t>
    <phoneticPr fontId="1" type="noConversion"/>
  </si>
  <si>
    <t>5급</t>
    <phoneticPr fontId="1" type="noConversion"/>
  </si>
  <si>
    <t>7급</t>
    <phoneticPr fontId="2" type="noConversion"/>
  </si>
  <si>
    <t>9급</t>
    <phoneticPr fontId="2" type="noConversion"/>
  </si>
  <si>
    <t>연구직</t>
    <phoneticPr fontId="2" type="noConversion"/>
  </si>
  <si>
    <t>관리운영직</t>
    <phoneticPr fontId="2" type="noConversion"/>
  </si>
  <si>
    <t>전문
경력관</t>
    <phoneticPr fontId="2" type="noConversion"/>
  </si>
  <si>
    <t>고위공무원단 소속 일반직</t>
    <phoneticPr fontId="2" type="noConversion"/>
  </si>
  <si>
    <t>부이사관·서기관 또는 과학기술서기관</t>
    <phoneticPr fontId="2" type="noConversion"/>
  </si>
  <si>
    <t>서기관 또는 과학기술서기관</t>
    <phoneticPr fontId="2" type="noConversion"/>
  </si>
  <si>
    <t>과학기술서기관</t>
    <phoneticPr fontId="2" type="noConversion"/>
  </si>
  <si>
    <t>서기관·과학기술서기관 또는 임업연구관</t>
    <phoneticPr fontId="2" type="noConversion"/>
  </si>
  <si>
    <t>또는 임업사무관
서기관·과학기술서기관·행정사무관</t>
    <phoneticPr fontId="1" type="noConversion"/>
  </si>
  <si>
    <t>임업사무관 또는 항공사무관
서기관·과학기술서기관·행정사무관·</t>
    <phoneticPr fontId="1" type="noConversion"/>
  </si>
  <si>
    <t>임업사무관 또는 임업연구관
서기관·과학기술서기관·행정사무관·</t>
    <phoneticPr fontId="2" type="noConversion"/>
  </si>
  <si>
    <t>행정사무관 또는 임업사무관</t>
    <phoneticPr fontId="2" type="noConversion"/>
  </si>
  <si>
    <t>행정사무관·임업사무관 또는 항공사무관</t>
    <phoneticPr fontId="2" type="noConversion"/>
  </si>
  <si>
    <t>행정사무관·임업사무관 또는 임업연구관</t>
    <phoneticPr fontId="2" type="noConversion"/>
  </si>
  <si>
    <t>또는 임업연구관
행정사무관·임업사무관관·간호사무관</t>
    <phoneticPr fontId="2" type="noConversion"/>
  </si>
  <si>
    <t>행정주사 또는 임업주사</t>
    <phoneticPr fontId="2" type="noConversion"/>
  </si>
  <si>
    <t>행정주사·임업주사 또는 항공주사</t>
    <phoneticPr fontId="2" type="noConversion"/>
  </si>
  <si>
    <t>행정주사·임업주사 또는 방재안전주사</t>
    <phoneticPr fontId="2" type="noConversion"/>
  </si>
  <si>
    <t>임업주사</t>
    <phoneticPr fontId="2" type="noConversion"/>
  </si>
  <si>
    <t>항공주사(일반)</t>
    <phoneticPr fontId="2" type="noConversion"/>
  </si>
  <si>
    <t>항공주사(조종사)</t>
    <phoneticPr fontId="2" type="noConversion"/>
  </si>
  <si>
    <t>항공주사(정비사)</t>
    <phoneticPr fontId="2" type="noConversion"/>
  </si>
  <si>
    <t>행정주사보 또는 임업주사보</t>
    <phoneticPr fontId="2" type="noConversion"/>
  </si>
  <si>
    <t>공업주사보 또는 시설주사보</t>
    <phoneticPr fontId="1" type="noConversion"/>
  </si>
  <si>
    <t>해양수산주사보</t>
    <phoneticPr fontId="1" type="noConversion"/>
  </si>
  <si>
    <t>보건주사보</t>
    <phoneticPr fontId="1" type="noConversion"/>
  </si>
  <si>
    <t>전산주사보</t>
    <phoneticPr fontId="2" type="noConversion"/>
  </si>
  <si>
    <t>방송통신주사보</t>
    <phoneticPr fontId="2" type="noConversion"/>
  </si>
  <si>
    <t>운전주사보</t>
    <phoneticPr fontId="2" type="noConversion"/>
  </si>
  <si>
    <t>행정주사보·임업주사보 또는 임업연구사</t>
    <phoneticPr fontId="2" type="noConversion"/>
  </si>
  <si>
    <t>행정주사보·임업주사보 또는 시설주사보</t>
    <phoneticPr fontId="2" type="noConversion"/>
  </si>
  <si>
    <t>행정주사보·임업주사보 또는 전산주사보</t>
    <phoneticPr fontId="2" type="noConversion"/>
  </si>
  <si>
    <t>임업주사보</t>
    <phoneticPr fontId="2" type="noConversion"/>
  </si>
  <si>
    <t>항공주사보(일반항공)</t>
    <phoneticPr fontId="2" type="noConversion"/>
  </si>
  <si>
    <t>항공주사보(정비사)</t>
    <phoneticPr fontId="2" type="noConversion"/>
  </si>
  <si>
    <t>햏정서기 또는 임업서기</t>
    <phoneticPr fontId="2" type="noConversion"/>
  </si>
  <si>
    <t xml:space="preserve">행정서기·임업서기 또는 항공서기 </t>
    <phoneticPr fontId="2" type="noConversion"/>
  </si>
  <si>
    <t>임업서기</t>
    <phoneticPr fontId="2" type="noConversion"/>
  </si>
  <si>
    <t>공업서기</t>
    <phoneticPr fontId="2" type="noConversion"/>
  </si>
  <si>
    <t>해양수산서기</t>
    <phoneticPr fontId="2" type="noConversion"/>
  </si>
  <si>
    <t>방송통신서기</t>
    <phoneticPr fontId="2" type="noConversion"/>
  </si>
  <si>
    <t>운전서기</t>
    <phoneticPr fontId="2" type="noConversion"/>
  </si>
  <si>
    <t>임업서기보</t>
    <phoneticPr fontId="2" type="noConversion"/>
  </si>
  <si>
    <t>공업서기보</t>
    <phoneticPr fontId="2" type="noConversion"/>
  </si>
  <si>
    <t>방송통신서기보</t>
    <phoneticPr fontId="2" type="noConversion"/>
  </si>
  <si>
    <t>방호서기보</t>
    <phoneticPr fontId="2" type="noConversion"/>
  </si>
  <si>
    <t>임업연구관</t>
    <phoneticPr fontId="2" type="noConversion"/>
  </si>
  <si>
    <t>기계운영서기</t>
    <phoneticPr fontId="2" type="noConversion"/>
  </si>
  <si>
    <t>산림보호운영서기</t>
    <phoneticPr fontId="2" type="noConversion"/>
  </si>
  <si>
    <t>산림보호운영서기보</t>
    <phoneticPr fontId="2" type="noConversion"/>
  </si>
  <si>
    <t>통신운영서기보</t>
    <phoneticPr fontId="2" type="noConversion"/>
  </si>
  <si>
    <t>열관리운영서기보</t>
    <phoneticPr fontId="2" type="noConversion"/>
  </si>
  <si>
    <t>농림운영서기보</t>
    <phoneticPr fontId="2" type="noConversion"/>
  </si>
  <si>
    <t>가군(교수 담당)</t>
    <phoneticPr fontId="2" type="noConversion"/>
  </si>
  <si>
    <t>국립산림품종관리센터</t>
    <phoneticPr fontId="2" type="noConversion"/>
  </si>
  <si>
    <t>중부지방산림청</t>
    <phoneticPr fontId="2" type="noConversion"/>
  </si>
  <si>
    <t>·임업사무관 또는 항공사무관
서기관·과학기술서기관·행정사무관</t>
    <phoneticPr fontId="1" type="noConversion"/>
  </si>
  <si>
    <t>총    계</t>
    <phoneticPr fontId="2" type="noConversion"/>
  </si>
  <si>
    <t>산림교육원</t>
    <phoneticPr fontId="2" type="noConversion"/>
  </si>
  <si>
    <t>산림항공본부</t>
    <phoneticPr fontId="2" type="noConversion"/>
  </si>
  <si>
    <t>국립산림품종관리센터</t>
    <phoneticPr fontId="2" type="noConversion"/>
  </si>
  <si>
    <t>5개 지방산림청 소계</t>
    <phoneticPr fontId="2" type="noConversion"/>
  </si>
  <si>
    <t>북부지방산림청</t>
    <phoneticPr fontId="2" type="noConversion"/>
  </si>
  <si>
    <t>동부지방산림청</t>
    <phoneticPr fontId="2" type="noConversion"/>
  </si>
  <si>
    <t>남부지방산림청</t>
    <phoneticPr fontId="2" type="noConversion"/>
  </si>
  <si>
    <t>서부지방산림청</t>
    <phoneticPr fontId="2" type="noConversion"/>
  </si>
  <si>
    <t xml:space="preserve">행전정산
사사무무
관관 · 
임
업
사
무
관
또
는
</t>
    <phoneticPr fontId="2" type="noConversion"/>
  </si>
  <si>
    <t xml:space="preserve">행기정록
사연
무구
관관
 · 
임
업
사
무
관
또
는
</t>
    <phoneticPr fontId="2" type="noConversion"/>
  </si>
  <si>
    <t xml:space="preserve">행항
정공
사사무무관관
 · 
임
업
사
무
관
또
는
</t>
    <phoneticPr fontId="2" type="noConversion"/>
  </si>
  <si>
    <t xml:space="preserve">행전
정산
사사
무무
관관
 · 
임
업
사
무
관
또
는
</t>
    <phoneticPr fontId="2" type="noConversion"/>
  </si>
  <si>
    <t xml:space="preserve">행시
정설
사사
무무
관관
 · 
임
업
사
무
관
또
는
</t>
    <phoneticPr fontId="2" type="noConversion"/>
  </si>
  <si>
    <t xml:space="preserve">행항
정공
사사
무무
관관
 · 
임
업
사
무
관
또
는
</t>
    <phoneticPr fontId="2" type="noConversion"/>
  </si>
  <si>
    <t>방재안전사무관 또는 임업연구관
행정사무관·임업사무관</t>
    <phoneticPr fontId="1" type="noConversion"/>
  </si>
  <si>
    <t>행시정설
사사
무무
관관
 · 
임
업
사
무
관
또
는</t>
    <phoneticPr fontId="2" type="noConversion"/>
  </si>
  <si>
    <t>시설사무관 또는 방재안전사무관
행정사무관·임업사무관</t>
    <phoneticPr fontId="1" type="noConversion"/>
  </si>
  <si>
    <t>임업연구관
행정사무관·임업사무관 또는</t>
    <phoneticPr fontId="1" type="noConversion"/>
  </si>
  <si>
    <t>방재안전주사보
행정주사보·임업주사보 또는</t>
    <phoneticPr fontId="1" type="noConversion"/>
  </si>
  <si>
    <t>방재안전주사
행정주사·임업주사 또는</t>
    <phoneticPr fontId="1" type="noConversion"/>
  </si>
  <si>
    <t>방재안전서기
행정서기·임업서기 또는</t>
    <phoneticPr fontId="1" type="noConversion"/>
  </si>
  <si>
    <t>방재안전서기보
행정서기보·임업서기보 또는</t>
    <phoneticPr fontId="1" type="noConversion"/>
  </si>
  <si>
    <t>임업연구사
행정주사·임업주사 또는</t>
    <phoneticPr fontId="1" type="noConversion"/>
  </si>
  <si>
    <t>임업사무관</t>
    <phoneticPr fontId="1" type="noConversion"/>
  </si>
  <si>
    <t>기록연구관
행정사무관·임업사무관 또는</t>
    <phoneticPr fontId="1" type="noConversion"/>
  </si>
  <si>
    <t>기록연구사
행정주사·임업주사 또는</t>
    <phoneticPr fontId="1" type="noConversion"/>
  </si>
  <si>
    <t>행정서기·임업서기 또는 공업서기</t>
    <phoneticPr fontId="2" type="noConversion"/>
  </si>
  <si>
    <t xml:space="preserve">   동해안 산불방지센터</t>
    <phoneticPr fontId="2" type="noConversion"/>
  </si>
  <si>
    <t xml:space="preserve">   남부권 산불방지센터</t>
    <phoneticPr fontId="2" type="noConversion"/>
  </si>
  <si>
    <t xml:space="preserve">행
정
사
무
관
또
는
임
업
사
무
관
</t>
    <phoneticPr fontId="1" type="noConversion"/>
  </si>
  <si>
    <t>권역별 산불방지센터 소계</t>
    <phoneticPr fontId="2" type="noConversion"/>
  </si>
  <si>
    <t>소방위</t>
    <phoneticPr fontId="2" type="noConversion"/>
  </si>
  <si>
    <t>소방사</t>
    <phoneticPr fontId="2" type="noConversion"/>
  </si>
  <si>
    <t>소방직</t>
    <phoneticPr fontId="2" type="noConversion"/>
  </si>
  <si>
    <t>6급</t>
    <phoneticPr fontId="2" type="noConversion"/>
  </si>
  <si>
    <t>행정주사·임업주사 또는 기상주사</t>
    <phoneticPr fontId="2" type="noConversion"/>
  </si>
  <si>
    <t>○ 2026.8.1. 부터 적용</t>
    <phoneticPr fontId="2" type="noConversion"/>
  </si>
  <si>
    <t>○ 2027.4.1. 부터 적용</t>
    <phoneticPr fontId="2" type="noConversion"/>
  </si>
  <si>
    <t>○ 2028.1.1. 적용</t>
    <phoneticPr fontId="2" type="noConversion"/>
  </si>
  <si>
    <t>○ 2026.7.22. 시행</t>
    <phoneticPr fontId="2" type="noConversion"/>
  </si>
  <si>
    <t>ㅇ 산림보호운영 8급 1명 → 임업 8급 1명산림보호운영 8급 1명 → 임업 8급 1명</t>
    <phoneticPr fontId="2" type="noConversion"/>
  </si>
  <si>
    <t>ㅇ 공직사회 내 감사 기능 강화 +4명(5급 1명, 6급 3명)
ㅇ 정원 재배치(혁신행정담당관실 → 산불방지과)</t>
    <phoneticPr fontId="1" type="noConversion"/>
  </si>
  <si>
    <t>ㅇ 정원 재배치(혁신행정담당관실 → 산불방지과)</t>
    <phoneticPr fontId="1" type="noConversion"/>
  </si>
  <si>
    <t>ㅇ 정원 재배치(산림복지교육과 → 팀도관리팀)</t>
    <phoneticPr fontId="1" type="noConversion"/>
  </si>
  <si>
    <t>ㅇ 운영지원과(운전서기)와 청장실(운전주사보) 상호이체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</si>
</sst>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76" formatCode="#,##0_ "/>
    <numFmt numFmtId="177" formatCode="0_ "/>
  </numFmts>
  <fonts count="38" x14ac:knownFonts="1"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바탕"/>
      <family val="1"/>
      <charset val="129"/>
    </font>
    <font>
      <b/>
      <sz val="10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b/>
      <sz val="10"/>
      <color theme="1"/>
      <name val="바탕"/>
      <family val="1"/>
      <charset val="129"/>
    </font>
    <font>
      <sz val="10"/>
      <color theme="1"/>
      <name val="바탕"/>
      <family val="1"/>
      <charset val="129"/>
    </font>
    <font>
      <sz val="13"/>
      <color theme="1"/>
      <name val="바탕"/>
      <family val="1"/>
      <charset val="129"/>
    </font>
    <font>
      <b/>
      <sz val="22"/>
      <color theme="1"/>
      <name val="바탕"/>
      <family val="1"/>
      <charset val="129"/>
    </font>
    <font>
      <sz val="11"/>
      <color theme="1"/>
      <name val="돋움"/>
      <family val="3"/>
      <charset val="129"/>
    </font>
    <font>
      <sz val="12"/>
      <color theme="1"/>
      <name val="바탕"/>
      <family val="1"/>
      <charset val="129"/>
    </font>
    <font>
      <b/>
      <sz val="12"/>
      <color theme="1"/>
      <name val="바탕"/>
      <family val="1"/>
      <charset val="129"/>
    </font>
    <font>
      <sz val="11"/>
      <name val="돋움"/>
      <family val="3"/>
      <charset val="129"/>
    </font>
    <font>
      <b/>
      <sz val="11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12"/>
      <name val="바탕"/>
      <family val="1"/>
      <charset val="129"/>
    </font>
    <font>
      <sz val="10"/>
      <name val="바탕"/>
      <family val="1"/>
      <charset val="129"/>
    </font>
    <font>
      <sz val="10"/>
      <color rgb="FFFF0000"/>
      <name val="바탕"/>
      <family val="1"/>
      <charset val="129"/>
    </font>
    <font>
      <sz val="12"/>
      <color rgb="FFFF0000"/>
      <name val="바탕"/>
      <family val="1"/>
      <charset val="129"/>
    </font>
    <font>
      <sz val="10"/>
      <name val="굴림"/>
      <family val="3"/>
      <charset val="129"/>
    </font>
    <font>
      <b/>
      <sz val="10"/>
      <name val="바탕"/>
      <family val="1"/>
      <charset val="129"/>
    </font>
    <font>
      <sz val="10"/>
      <color theme="1"/>
      <name val="새굴림"/>
      <family val="1"/>
      <charset val="129"/>
    </font>
    <font>
      <b/>
      <sz val="10"/>
      <name val="굴림"/>
      <family val="3"/>
      <charset val="129"/>
    </font>
    <font>
      <sz val="11"/>
      <color theme="1"/>
      <name val="굴림"/>
      <family val="3"/>
      <charset val="129"/>
    </font>
    <font>
      <sz val="13"/>
      <color rgb="FF000000"/>
      <name val="바탕체"/>
      <family val="1"/>
      <charset val="129"/>
    </font>
    <font>
      <sz val="10"/>
      <color theme="1"/>
      <name val="돋움체"/>
      <family val="3"/>
      <charset val="129"/>
    </font>
    <font>
      <sz val="8"/>
      <color theme="1"/>
      <name val="굴림"/>
      <family val="3"/>
      <charset val="129"/>
    </font>
    <font>
      <b/>
      <sz val="11"/>
      <color rgb="FFFF0000"/>
      <name val="굴림"/>
      <family val="3"/>
      <charset val="129"/>
    </font>
    <font>
      <sz val="11"/>
      <name val="굴림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indexed="81"/>
      <name val="돋움"/>
      <family val="3"/>
      <charset val="129"/>
    </font>
    <font>
      <b/>
      <sz val="12"/>
      <color indexed="81"/>
      <name val="Tahoma"/>
      <family val="2"/>
    </font>
    <font>
      <sz val="10"/>
      <color rgb="FFFF0000"/>
      <name val="굴림"/>
      <family val="3"/>
      <charset val="129"/>
    </font>
    <font>
      <sz val="9"/>
      <color indexed="81"/>
      <name val="돋움"/>
      <family val="3"/>
      <charset val="129"/>
    </font>
    <font>
      <sz val="11"/>
      <color rgb="FF0000FF"/>
      <name val="굴림"/>
      <family val="3"/>
      <charset val="129"/>
    </font>
    <font>
      <sz val="11"/>
      <color rgb="FFFF0000"/>
      <name val="굴림"/>
      <family val="3"/>
      <charset val="129"/>
    </font>
    <font>
      <sz val="10"/>
      <color rgb="FF0000FF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</fills>
  <borders count="17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 diagonalDown="1">
      <left style="medium">
        <color indexed="64"/>
      </left>
      <right/>
      <top style="medium">
        <color indexed="64"/>
      </top>
      <bottom style="hair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/>
      <top style="hair">
        <color indexed="64"/>
      </top>
      <bottom style="hair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 diagonalDown="1">
      <left style="medium">
        <color indexed="64"/>
      </left>
      <right/>
      <top style="hair">
        <color indexed="64"/>
      </top>
      <bottom style="double">
        <color indexed="64"/>
      </bottom>
      <diagonal style="thin">
        <color indexed="64"/>
      </diagonal>
    </border>
    <border>
      <left style="medium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 style="thin">
        <color indexed="64"/>
      </right>
      <top/>
      <bottom/>
      <diagonal style="thin">
        <color indexed="64"/>
      </diagonal>
    </border>
    <border diagonalDown="1">
      <left style="medium">
        <color indexed="64"/>
      </left>
      <right style="thin">
        <color indexed="64"/>
      </right>
      <top/>
      <bottom style="double">
        <color indexed="64"/>
      </bottom>
      <diagonal style="thin">
        <color indexed="64"/>
      </diagonal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5" fillId="0" borderId="0"/>
  </cellStyleXfs>
  <cellXfs count="496">
    <xf numFmtId="0" fontId="0" fillId="0" borderId="0" xfId="0">
      <alignment vertical="center"/>
    </xf>
    <xf numFmtId="0" fontId="5" fillId="0" borderId="0" xfId="0" applyFont="1" applyFill="1">
      <alignment vertical="center"/>
    </xf>
    <xf numFmtId="0" fontId="6" fillId="0" borderId="0" xfId="0" applyFont="1" applyFill="1">
      <alignment vertical="center"/>
    </xf>
    <xf numFmtId="0" fontId="6" fillId="0" borderId="0" xfId="0" applyFont="1" applyFill="1" applyAlignment="1">
      <alignment horizontal="center"/>
    </xf>
    <xf numFmtId="0" fontId="6" fillId="0" borderId="0" xfId="0" applyFont="1" applyFill="1" applyBorder="1" applyAlignment="1"/>
    <xf numFmtId="0" fontId="7" fillId="0" borderId="0" xfId="0" applyFont="1" applyFill="1">
      <alignment vertical="center"/>
    </xf>
    <xf numFmtId="0" fontId="9" fillId="0" borderId="0" xfId="0" applyFont="1" applyAlignment="1"/>
    <xf numFmtId="0" fontId="6" fillId="0" borderId="0" xfId="0" applyFont="1" applyFill="1" applyAlignment="1">
      <alignment vertical="center"/>
    </xf>
    <xf numFmtId="0" fontId="6" fillId="0" borderId="0" xfId="0" applyFont="1" applyFill="1" applyAlignment="1">
      <alignment vertical="top"/>
    </xf>
    <xf numFmtId="0" fontId="10" fillId="0" borderId="0" xfId="0" applyFont="1" applyFill="1">
      <alignment vertical="center"/>
    </xf>
    <xf numFmtId="0" fontId="11" fillId="0" borderId="0" xfId="0" applyFont="1" applyFill="1">
      <alignment vertical="center"/>
    </xf>
    <xf numFmtId="0" fontId="10" fillId="0" borderId="0" xfId="0" applyFont="1" applyFill="1" applyAlignment="1">
      <alignment horizontal="center"/>
    </xf>
    <xf numFmtId="176" fontId="4" fillId="0" borderId="17" xfId="0" applyNumberFormat="1" applyFont="1" applyFill="1" applyBorder="1" applyAlignment="1">
      <alignment vertical="center" shrinkToFit="1"/>
    </xf>
    <xf numFmtId="0" fontId="7" fillId="0" borderId="0" xfId="2" applyFont="1" applyFill="1"/>
    <xf numFmtId="0" fontId="6" fillId="0" borderId="0" xfId="2" applyFont="1" applyFill="1"/>
    <xf numFmtId="0" fontId="10" fillId="0" borderId="0" xfId="2" applyFont="1" applyAlignment="1"/>
    <xf numFmtId="0" fontId="10" fillId="0" borderId="0" xfId="2" applyFont="1" applyFill="1"/>
    <xf numFmtId="0" fontId="6" fillId="0" borderId="0" xfId="0" applyFont="1" applyFill="1" applyAlignment="1">
      <alignment horizontal="center" vertical="center"/>
    </xf>
    <xf numFmtId="176" fontId="3" fillId="0" borderId="26" xfId="0" applyNumberFormat="1" applyFont="1" applyFill="1" applyBorder="1" applyAlignment="1">
      <alignment vertical="center" shrinkToFit="1"/>
    </xf>
    <xf numFmtId="0" fontId="4" fillId="0" borderId="55" xfId="0" applyFont="1" applyFill="1" applyBorder="1" applyAlignment="1">
      <alignment horizontal="center" vertical="center" wrapText="1" shrinkToFit="1"/>
    </xf>
    <xf numFmtId="0" fontId="17" fillId="0" borderId="0" xfId="2" applyFont="1" applyFill="1"/>
    <xf numFmtId="0" fontId="18" fillId="0" borderId="0" xfId="2" applyFont="1" applyFill="1"/>
    <xf numFmtId="0" fontId="14" fillId="0" borderId="120" xfId="0" applyFont="1" applyFill="1" applyBorder="1" applyAlignment="1">
      <alignment horizontal="center" vertical="center" wrapText="1" shrinkToFit="1"/>
    </xf>
    <xf numFmtId="0" fontId="16" fillId="0" borderId="0" xfId="0" applyFont="1" applyFill="1" applyAlignment="1">
      <alignment vertical="top"/>
    </xf>
    <xf numFmtId="0" fontId="16" fillId="0" borderId="0" xfId="2" applyFont="1" applyFill="1"/>
    <xf numFmtId="0" fontId="3" fillId="0" borderId="7" xfId="0" applyFont="1" applyFill="1" applyBorder="1" applyAlignment="1">
      <alignment horizontal="left" vertical="center" shrinkToFit="1"/>
    </xf>
    <xf numFmtId="176" fontId="3" fillId="0" borderId="12" xfId="0" applyNumberFormat="1" applyFont="1" applyFill="1" applyBorder="1" applyAlignment="1">
      <alignment vertical="center" shrinkToFit="1"/>
    </xf>
    <xf numFmtId="176" fontId="3" fillId="0" borderId="11" xfId="0" applyNumberFormat="1" applyFont="1" applyFill="1" applyBorder="1" applyAlignment="1">
      <alignment vertical="center" shrinkToFit="1"/>
    </xf>
    <xf numFmtId="176" fontId="3" fillId="0" borderId="8" xfId="0" applyNumberFormat="1" applyFont="1" applyFill="1" applyBorder="1" applyAlignment="1">
      <alignment vertical="center" shrinkToFit="1"/>
    </xf>
    <xf numFmtId="176" fontId="3" fillId="0" borderId="12" xfId="0" applyNumberFormat="1" applyFont="1" applyFill="1" applyBorder="1" applyAlignment="1">
      <alignment horizontal="center" vertical="center" shrinkToFit="1"/>
    </xf>
    <xf numFmtId="176" fontId="3" fillId="0" borderId="13" xfId="0" applyNumberFormat="1" applyFont="1" applyFill="1" applyBorder="1" applyAlignment="1">
      <alignment vertical="center" shrinkToFit="1"/>
    </xf>
    <xf numFmtId="176" fontId="3" fillId="0" borderId="15" xfId="0" applyNumberFormat="1" applyFont="1" applyFill="1" applyBorder="1" applyAlignment="1">
      <alignment vertical="center" shrinkToFit="1"/>
    </xf>
    <xf numFmtId="176" fontId="3" fillId="0" borderId="10" xfId="0" applyNumberFormat="1" applyFont="1" applyFill="1" applyBorder="1" applyAlignment="1">
      <alignment vertical="center" shrinkToFit="1"/>
    </xf>
    <xf numFmtId="176" fontId="3" fillId="0" borderId="9" xfId="0" applyNumberFormat="1" applyFont="1" applyFill="1" applyBorder="1" applyAlignment="1">
      <alignment vertical="center" shrinkToFit="1"/>
    </xf>
    <xf numFmtId="0" fontId="5" fillId="0" borderId="0" xfId="0" applyFont="1" applyFill="1" applyAlignment="1">
      <alignment vertical="center"/>
    </xf>
    <xf numFmtId="0" fontId="3" fillId="0" borderId="16" xfId="0" applyFont="1" applyFill="1" applyBorder="1" applyAlignment="1">
      <alignment horizontal="left" vertical="center" shrinkToFit="1"/>
    </xf>
    <xf numFmtId="176" fontId="4" fillId="0" borderId="21" xfId="0" applyNumberFormat="1" applyFont="1" applyFill="1" applyBorder="1" applyAlignment="1">
      <alignment vertical="center" shrinkToFit="1"/>
    </xf>
    <xf numFmtId="176" fontId="4" fillId="0" borderId="20" xfId="0" applyNumberFormat="1" applyFont="1" applyFill="1" applyBorder="1" applyAlignment="1">
      <alignment vertical="center" shrinkToFit="1"/>
    </xf>
    <xf numFmtId="0" fontId="3" fillId="0" borderId="25" xfId="0" applyFont="1" applyFill="1" applyBorder="1" applyAlignment="1">
      <alignment horizontal="left" vertical="center" shrinkToFit="1"/>
    </xf>
    <xf numFmtId="176" fontId="4" fillId="0" borderId="30" xfId="0" applyNumberFormat="1" applyFont="1" applyFill="1" applyBorder="1" applyAlignment="1">
      <alignment vertical="center" shrinkToFit="1"/>
    </xf>
    <xf numFmtId="176" fontId="4" fillId="0" borderId="33" xfId="0" applyNumberFormat="1" applyFont="1" applyFill="1" applyBorder="1" applyAlignment="1">
      <alignment vertical="center" shrinkToFit="1"/>
    </xf>
    <xf numFmtId="176" fontId="4" fillId="0" borderId="29" xfId="0" applyNumberFormat="1" applyFont="1" applyFill="1" applyBorder="1" applyAlignment="1">
      <alignment vertical="center" shrinkToFit="1"/>
    </xf>
    <xf numFmtId="0" fontId="3" fillId="0" borderId="25" xfId="0" applyFont="1" applyFill="1" applyBorder="1" applyAlignment="1">
      <alignment vertical="center" shrinkToFit="1"/>
    </xf>
    <xf numFmtId="0" fontId="3" fillId="0" borderId="34" xfId="0" applyFont="1" applyFill="1" applyBorder="1" applyAlignment="1">
      <alignment vertical="center" shrinkToFit="1"/>
    </xf>
    <xf numFmtId="176" fontId="4" fillId="0" borderId="39" xfId="0" applyNumberFormat="1" applyFont="1" applyFill="1" applyBorder="1" applyAlignment="1">
      <alignment vertical="center" shrinkToFit="1"/>
    </xf>
    <xf numFmtId="176" fontId="4" fillId="0" borderId="38" xfId="0" applyNumberFormat="1" applyFont="1" applyFill="1" applyBorder="1" applyAlignment="1">
      <alignment vertical="center" shrinkToFit="1"/>
    </xf>
    <xf numFmtId="0" fontId="3" fillId="0" borderId="121" xfId="0" applyFont="1" applyFill="1" applyBorder="1" applyAlignment="1">
      <alignment vertical="center" wrapText="1" shrinkToFit="1"/>
    </xf>
    <xf numFmtId="176" fontId="4" fillId="0" borderId="123" xfId="0" applyNumberFormat="1" applyFont="1" applyFill="1" applyBorder="1" applyAlignment="1">
      <alignment vertical="center" shrinkToFit="1"/>
    </xf>
    <xf numFmtId="176" fontId="4" fillId="0" borderId="47" xfId="0" applyNumberFormat="1" applyFont="1" applyFill="1" applyBorder="1" applyAlignment="1">
      <alignment vertical="center" shrinkToFit="1"/>
    </xf>
    <xf numFmtId="177" fontId="16" fillId="0" borderId="0" xfId="0" applyNumberFormat="1" applyFont="1" applyFill="1" applyAlignment="1">
      <alignment vertical="top"/>
    </xf>
    <xf numFmtId="176" fontId="3" fillId="0" borderId="17" xfId="0" applyNumberFormat="1" applyFont="1" applyFill="1" applyBorder="1" applyAlignment="1">
      <alignment vertical="center" shrinkToFit="1"/>
    </xf>
    <xf numFmtId="176" fontId="4" fillId="0" borderId="22" xfId="0" applyNumberFormat="1" applyFont="1" applyFill="1" applyBorder="1" applyAlignment="1">
      <alignment vertical="center" shrinkToFit="1"/>
    </xf>
    <xf numFmtId="176" fontId="4" fillId="0" borderId="19" xfId="0" applyNumberFormat="1" applyFont="1" applyFill="1" applyBorder="1" applyAlignment="1">
      <alignment vertical="center" shrinkToFit="1"/>
    </xf>
    <xf numFmtId="176" fontId="4" fillId="0" borderId="28" xfId="0" applyNumberFormat="1" applyFont="1" applyFill="1" applyBorder="1" applyAlignment="1">
      <alignment vertical="center" shrinkToFit="1"/>
    </xf>
    <xf numFmtId="176" fontId="4" fillId="0" borderId="63" xfId="0" applyNumberFormat="1" applyFont="1" applyFill="1" applyBorder="1" applyAlignment="1">
      <alignment vertical="center" shrinkToFit="1"/>
    </xf>
    <xf numFmtId="176" fontId="4" fillId="0" borderId="26" xfId="0" applyNumberFormat="1" applyFont="1" applyFill="1" applyBorder="1" applyAlignment="1">
      <alignment vertical="center" shrinkToFit="1"/>
    </xf>
    <xf numFmtId="176" fontId="4" fillId="0" borderId="31" xfId="0" applyNumberFormat="1" applyFont="1" applyFill="1" applyBorder="1" applyAlignment="1">
      <alignment vertical="center" shrinkToFit="1"/>
    </xf>
    <xf numFmtId="176" fontId="4" fillId="0" borderId="69" xfId="0" applyNumberFormat="1" applyFont="1" applyFill="1" applyBorder="1" applyAlignment="1">
      <alignment vertical="center" shrinkToFit="1"/>
    </xf>
    <xf numFmtId="176" fontId="4" fillId="0" borderId="27" xfId="0" applyNumberFormat="1" applyFont="1" applyFill="1" applyBorder="1" applyAlignment="1">
      <alignment vertical="center" shrinkToFit="1"/>
    </xf>
    <xf numFmtId="176" fontId="4" fillId="0" borderId="64" xfId="0" applyNumberFormat="1" applyFont="1" applyFill="1" applyBorder="1" applyAlignment="1">
      <alignment vertical="center" shrinkToFit="1"/>
    </xf>
    <xf numFmtId="176" fontId="4" fillId="0" borderId="35" xfId="0" applyNumberFormat="1" applyFont="1" applyFill="1" applyBorder="1" applyAlignment="1">
      <alignment vertical="center" shrinkToFit="1"/>
    </xf>
    <xf numFmtId="176" fontId="4" fillId="0" borderId="37" xfId="0" applyNumberFormat="1" applyFont="1" applyFill="1" applyBorder="1" applyAlignment="1">
      <alignment vertical="center" shrinkToFit="1"/>
    </xf>
    <xf numFmtId="176" fontId="4" fillId="0" borderId="65" xfId="0" applyNumberFormat="1" applyFont="1" applyFill="1" applyBorder="1" applyAlignment="1">
      <alignment vertical="center" shrinkToFit="1"/>
    </xf>
    <xf numFmtId="176" fontId="4" fillId="0" borderId="44" xfId="0" applyNumberFormat="1" applyFont="1" applyFill="1" applyBorder="1" applyAlignment="1">
      <alignment vertical="center" shrinkToFit="1"/>
    </xf>
    <xf numFmtId="176" fontId="4" fillId="0" borderId="124" xfId="0" applyNumberFormat="1" applyFont="1" applyFill="1" applyBorder="1" applyAlignment="1">
      <alignment vertical="center" shrinkToFit="1"/>
    </xf>
    <xf numFmtId="176" fontId="4" fillId="0" borderId="46" xfId="0" applyNumberFormat="1" applyFont="1" applyFill="1" applyBorder="1" applyAlignment="1">
      <alignment vertical="center" shrinkToFit="1"/>
    </xf>
    <xf numFmtId="0" fontId="21" fillId="0" borderId="77" xfId="0" applyFont="1" applyFill="1" applyBorder="1" applyAlignment="1">
      <alignment horizontal="center" vertical="center"/>
    </xf>
    <xf numFmtId="0" fontId="16" fillId="0" borderId="0" xfId="0" applyFont="1" applyFill="1" applyAlignment="1">
      <alignment vertical="center"/>
    </xf>
    <xf numFmtId="0" fontId="22" fillId="0" borderId="7" xfId="0" applyFont="1" applyFill="1" applyBorder="1" applyAlignment="1">
      <alignment horizontal="left" vertical="center" shrinkToFit="1"/>
    </xf>
    <xf numFmtId="176" fontId="22" fillId="0" borderId="12" xfId="0" applyNumberFormat="1" applyFont="1" applyFill="1" applyBorder="1" applyAlignment="1">
      <alignment vertical="center" shrinkToFit="1"/>
    </xf>
    <xf numFmtId="0" fontId="20" fillId="0" borderId="0" xfId="0" applyFont="1" applyFill="1" applyAlignment="1">
      <alignment vertical="center"/>
    </xf>
    <xf numFmtId="0" fontId="22" fillId="0" borderId="16" xfId="0" applyFont="1" applyFill="1" applyBorder="1" applyAlignment="1">
      <alignment horizontal="left" vertical="center" shrinkToFit="1"/>
    </xf>
    <xf numFmtId="176" fontId="22" fillId="0" borderId="21" xfId="0" applyNumberFormat="1" applyFont="1" applyFill="1" applyBorder="1" applyAlignment="1">
      <alignment vertical="center" shrinkToFit="1"/>
    </xf>
    <xf numFmtId="0" fontId="22" fillId="0" borderId="25" xfId="0" applyFont="1" applyFill="1" applyBorder="1" applyAlignment="1">
      <alignment horizontal="left" vertical="center" shrinkToFit="1"/>
    </xf>
    <xf numFmtId="176" fontId="22" fillId="0" borderId="30" xfId="0" applyNumberFormat="1" applyFont="1" applyFill="1" applyBorder="1" applyAlignment="1">
      <alignment vertical="center" shrinkToFit="1"/>
    </xf>
    <xf numFmtId="0" fontId="22" fillId="0" borderId="25" xfId="0" applyFont="1" applyFill="1" applyBorder="1" applyAlignment="1">
      <alignment vertical="center" shrinkToFit="1"/>
    </xf>
    <xf numFmtId="0" fontId="22" fillId="0" borderId="34" xfId="0" applyFont="1" applyFill="1" applyBorder="1" applyAlignment="1">
      <alignment vertical="center" shrinkToFit="1"/>
    </xf>
    <xf numFmtId="0" fontId="22" fillId="0" borderId="121" xfId="0" applyFont="1" applyFill="1" applyBorder="1" applyAlignment="1">
      <alignment vertical="center" wrapText="1" shrinkToFit="1"/>
    </xf>
    <xf numFmtId="0" fontId="16" fillId="0" borderId="0" xfId="2" applyFont="1" applyFill="1" applyAlignment="1">
      <alignment vertical="top"/>
    </xf>
    <xf numFmtId="176" fontId="23" fillId="0" borderId="113" xfId="2" applyNumberFormat="1" applyFont="1" applyFill="1" applyBorder="1" applyAlignment="1">
      <alignment horizontal="center" vertical="center" shrinkToFit="1"/>
    </xf>
    <xf numFmtId="0" fontId="13" fillId="0" borderId="93" xfId="2" applyFont="1" applyFill="1" applyBorder="1" applyAlignment="1">
      <alignment horizontal="left" vertical="center" shrinkToFit="1"/>
    </xf>
    <xf numFmtId="176" fontId="13" fillId="0" borderId="95" xfId="2" applyNumberFormat="1" applyFont="1" applyFill="1" applyBorder="1" applyAlignment="1">
      <alignment horizontal="center" vertical="center" shrinkToFit="1"/>
    </xf>
    <xf numFmtId="176" fontId="13" fillId="0" borderId="96" xfId="2" applyNumberFormat="1" applyFont="1" applyFill="1" applyBorder="1" applyAlignment="1">
      <alignment horizontal="center" vertical="center" shrinkToFit="1"/>
    </xf>
    <xf numFmtId="176" fontId="13" fillId="0" borderId="97" xfId="2" applyNumberFormat="1" applyFont="1" applyFill="1" applyBorder="1" applyAlignment="1">
      <alignment horizontal="center" vertical="center" shrinkToFit="1"/>
    </xf>
    <xf numFmtId="176" fontId="13" fillId="0" borderId="98" xfId="2" applyNumberFormat="1" applyFont="1" applyFill="1" applyBorder="1" applyAlignment="1">
      <alignment horizontal="center" vertical="center" shrinkToFit="1"/>
    </xf>
    <xf numFmtId="176" fontId="13" fillId="0" borderId="99" xfId="2" applyNumberFormat="1" applyFont="1" applyFill="1" applyBorder="1" applyAlignment="1">
      <alignment horizontal="center" vertical="center" shrinkToFit="1"/>
    </xf>
    <xf numFmtId="176" fontId="13" fillId="0" borderId="119" xfId="2" applyNumberFormat="1" applyFont="1" applyFill="1" applyBorder="1" applyAlignment="1">
      <alignment horizontal="center" vertical="center" shrinkToFit="1"/>
    </xf>
    <xf numFmtId="0" fontId="5" fillId="0" borderId="0" xfId="2" applyFont="1" applyFill="1" applyAlignment="1">
      <alignment vertical="center"/>
    </xf>
    <xf numFmtId="0" fontId="13" fillId="0" borderId="100" xfId="2" applyFont="1" applyFill="1" applyBorder="1" applyAlignment="1">
      <alignment vertical="center" shrinkToFit="1"/>
    </xf>
    <xf numFmtId="176" fontId="13" fillId="0" borderId="101" xfId="2" applyNumberFormat="1" applyFont="1" applyFill="1" applyBorder="1" applyAlignment="1">
      <alignment horizontal="center" vertical="center" shrinkToFit="1"/>
    </xf>
    <xf numFmtId="176" fontId="23" fillId="0" borderId="102" xfId="2" applyNumberFormat="1" applyFont="1" applyFill="1" applyBorder="1" applyAlignment="1">
      <alignment horizontal="center" vertical="center" shrinkToFit="1"/>
    </xf>
    <xf numFmtId="176" fontId="23" fillId="0" borderId="103" xfId="2" applyNumberFormat="1" applyFont="1" applyFill="1" applyBorder="1" applyAlignment="1">
      <alignment horizontal="center" vertical="center" shrinkToFit="1"/>
    </xf>
    <xf numFmtId="176" fontId="23" fillId="0" borderId="104" xfId="2" applyNumberFormat="1" applyFont="1" applyFill="1" applyBorder="1" applyAlignment="1">
      <alignment horizontal="center" vertical="center" shrinkToFit="1"/>
    </xf>
    <xf numFmtId="176" fontId="23" fillId="0" borderId="105" xfId="2" applyNumberFormat="1" applyFont="1" applyFill="1" applyBorder="1" applyAlignment="1">
      <alignment horizontal="center" vertical="center" shrinkToFit="1"/>
    </xf>
    <xf numFmtId="176" fontId="23" fillId="0" borderId="106" xfId="2" applyNumberFormat="1" applyFont="1" applyFill="1" applyBorder="1" applyAlignment="1">
      <alignment horizontal="center" vertical="center" shrinkToFit="1"/>
    </xf>
    <xf numFmtId="176" fontId="23" fillId="0" borderId="107" xfId="2" applyNumberFormat="1" applyFont="1" applyFill="1" applyBorder="1" applyAlignment="1">
      <alignment horizontal="center" vertical="center" shrinkToFit="1"/>
    </xf>
    <xf numFmtId="0" fontId="13" fillId="0" borderId="108" xfId="2" applyFont="1" applyFill="1" applyBorder="1" applyAlignment="1">
      <alignment vertical="center" shrinkToFit="1"/>
    </xf>
    <xf numFmtId="176" fontId="23" fillId="0" borderId="110" xfId="2" applyNumberFormat="1" applyFont="1" applyFill="1" applyBorder="1" applyAlignment="1">
      <alignment horizontal="center" vertical="center" shrinkToFit="1"/>
    </xf>
    <xf numFmtId="176" fontId="23" fillId="0" borderId="111" xfId="2" applyNumberFormat="1" applyFont="1" applyFill="1" applyBorder="1" applyAlignment="1">
      <alignment horizontal="center" vertical="center" shrinkToFit="1"/>
    </xf>
    <xf numFmtId="176" fontId="23" fillId="0" borderId="112" xfId="2" applyNumberFormat="1" applyFont="1" applyFill="1" applyBorder="1" applyAlignment="1">
      <alignment horizontal="center" vertical="center" shrinkToFit="1"/>
    </xf>
    <xf numFmtId="176" fontId="23" fillId="0" borderId="114" xfId="2" applyNumberFormat="1" applyFont="1" applyFill="1" applyBorder="1" applyAlignment="1">
      <alignment horizontal="center" vertical="center" shrinkToFit="1"/>
    </xf>
    <xf numFmtId="176" fontId="23" fillId="0" borderId="115" xfId="2" applyNumberFormat="1" applyFont="1" applyFill="1" applyBorder="1" applyAlignment="1">
      <alignment horizontal="center" vertical="center" shrinkToFit="1"/>
    </xf>
    <xf numFmtId="0" fontId="13" fillId="0" borderId="88" xfId="2" applyFont="1" applyFill="1" applyBorder="1" applyAlignment="1">
      <alignment vertical="center" shrinkToFit="1"/>
    </xf>
    <xf numFmtId="176" fontId="23" fillId="0" borderId="18" xfId="2" applyNumberFormat="1" applyFont="1" applyFill="1" applyBorder="1" applyAlignment="1">
      <alignment horizontal="center" vertical="center" shrinkToFit="1"/>
    </xf>
    <xf numFmtId="176" fontId="23" fillId="0" borderId="17" xfId="2" applyNumberFormat="1" applyFont="1" applyFill="1" applyBorder="1" applyAlignment="1">
      <alignment horizontal="center" vertical="center" shrinkToFit="1"/>
    </xf>
    <xf numFmtId="176" fontId="23" fillId="0" borderId="23" xfId="2" applyNumberFormat="1" applyFont="1" applyFill="1" applyBorder="1" applyAlignment="1">
      <alignment horizontal="center" vertical="center" shrinkToFit="1"/>
    </xf>
    <xf numFmtId="176" fontId="23" fillId="0" borderId="19" xfId="2" applyNumberFormat="1" applyFont="1" applyFill="1" applyBorder="1" applyAlignment="1">
      <alignment horizontal="center" vertical="center" shrinkToFit="1"/>
    </xf>
    <xf numFmtId="176" fontId="23" fillId="0" borderId="20" xfId="2" applyNumberFormat="1" applyFont="1" applyFill="1" applyBorder="1" applyAlignment="1">
      <alignment horizontal="center" vertical="center" shrinkToFit="1"/>
    </xf>
    <xf numFmtId="176" fontId="23" fillId="0" borderId="68" xfId="2" applyNumberFormat="1" applyFont="1" applyFill="1" applyBorder="1" applyAlignment="1">
      <alignment horizontal="center" vertical="center" shrinkToFit="1"/>
    </xf>
    <xf numFmtId="176" fontId="23" fillId="0" borderId="28" xfId="2" applyNumberFormat="1" applyFont="1" applyFill="1" applyBorder="1" applyAlignment="1">
      <alignment horizontal="center" vertical="center" shrinkToFit="1"/>
    </xf>
    <xf numFmtId="0" fontId="13" fillId="0" borderId="118" xfId="2" applyFont="1" applyFill="1" applyBorder="1" applyAlignment="1">
      <alignment horizontal="right" vertical="center" shrinkToFit="1"/>
    </xf>
    <xf numFmtId="176" fontId="23" fillId="0" borderId="27" xfId="2" applyNumberFormat="1" applyFont="1" applyFill="1" applyBorder="1" applyAlignment="1">
      <alignment horizontal="center" vertical="center" shrinkToFit="1"/>
    </xf>
    <xf numFmtId="176" fontId="23" fillId="0" borderId="26" xfId="2" applyNumberFormat="1" applyFont="1" applyFill="1" applyBorder="1" applyAlignment="1">
      <alignment horizontal="center" vertical="center" shrinkToFit="1"/>
    </xf>
    <xf numFmtId="176" fontId="23" fillId="0" borderId="32" xfId="2" applyNumberFormat="1" applyFont="1" applyFill="1" applyBorder="1" applyAlignment="1">
      <alignment horizontal="center" vertical="center" shrinkToFit="1"/>
    </xf>
    <xf numFmtId="176" fontId="23" fillId="0" borderId="29" xfId="2" applyNumberFormat="1" applyFont="1" applyFill="1" applyBorder="1" applyAlignment="1">
      <alignment horizontal="center" vertical="center" shrinkToFit="1"/>
    </xf>
    <xf numFmtId="176" fontId="23" fillId="0" borderId="69" xfId="2" applyNumberFormat="1" applyFont="1" applyFill="1" applyBorder="1" applyAlignment="1">
      <alignment horizontal="center" vertical="center" shrinkToFit="1"/>
    </xf>
    <xf numFmtId="176" fontId="13" fillId="0" borderId="87" xfId="2" applyNumberFormat="1" applyFont="1" applyFill="1" applyBorder="1" applyAlignment="1">
      <alignment horizontal="center" vertical="center" shrinkToFit="1"/>
    </xf>
    <xf numFmtId="0" fontId="13" fillId="0" borderId="43" xfId="2" applyFont="1" applyFill="1" applyBorder="1" applyAlignment="1">
      <alignment horizontal="right" vertical="center" shrinkToFit="1"/>
    </xf>
    <xf numFmtId="176" fontId="23" fillId="0" borderId="45" xfId="2" applyNumberFormat="1" applyFont="1" applyFill="1" applyBorder="1" applyAlignment="1">
      <alignment horizontal="center" vertical="center" shrinkToFit="1"/>
    </xf>
    <xf numFmtId="176" fontId="4" fillId="0" borderId="40" xfId="0" applyNumberFormat="1" applyFont="1" applyFill="1" applyBorder="1" applyAlignment="1">
      <alignment vertical="center" shrinkToFit="1"/>
    </xf>
    <xf numFmtId="176" fontId="22" fillId="0" borderId="123" xfId="0" applyNumberFormat="1" applyFont="1" applyFill="1" applyBorder="1" applyAlignment="1">
      <alignment vertical="center" shrinkToFit="1"/>
    </xf>
    <xf numFmtId="176" fontId="3" fillId="0" borderId="8" xfId="0" applyNumberFormat="1" applyFont="1" applyFill="1" applyBorder="1" applyAlignment="1">
      <alignment horizontal="right" vertical="center" shrinkToFit="1"/>
    </xf>
    <xf numFmtId="176" fontId="3" fillId="0" borderId="10" xfId="0" applyNumberFormat="1" applyFont="1" applyFill="1" applyBorder="1" applyAlignment="1">
      <alignment horizontal="center" vertical="center" shrinkToFit="1"/>
    </xf>
    <xf numFmtId="176" fontId="3" fillId="0" borderId="62" xfId="0" applyNumberFormat="1" applyFont="1" applyFill="1" applyBorder="1" applyAlignment="1">
      <alignment vertical="center" shrinkToFit="1"/>
    </xf>
    <xf numFmtId="176" fontId="3" fillId="0" borderId="44" xfId="0" applyNumberFormat="1" applyFont="1" applyFill="1" applyBorder="1" applyAlignment="1">
      <alignment vertical="center" shrinkToFit="1"/>
    </xf>
    <xf numFmtId="176" fontId="4" fillId="0" borderId="122" xfId="0" applyNumberFormat="1" applyFont="1" applyFill="1" applyBorder="1" applyAlignment="1">
      <alignment vertical="center" shrinkToFit="1"/>
    </xf>
    <xf numFmtId="176" fontId="4" fillId="0" borderId="66" xfId="0" applyNumberFormat="1" applyFont="1" applyFill="1" applyBorder="1" applyAlignment="1">
      <alignment vertical="center" shrinkToFit="1"/>
    </xf>
    <xf numFmtId="176" fontId="13" fillId="0" borderId="109" xfId="2" applyNumberFormat="1" applyFont="1" applyFill="1" applyBorder="1" applyAlignment="1">
      <alignment horizontal="center" vertical="center" shrinkToFit="1"/>
    </xf>
    <xf numFmtId="176" fontId="13" fillId="0" borderId="117" xfId="2" applyNumberFormat="1" applyFont="1" applyFill="1" applyBorder="1" applyAlignment="1">
      <alignment horizontal="center" vertical="center" shrinkToFit="1"/>
    </xf>
    <xf numFmtId="0" fontId="4" fillId="0" borderId="27" xfId="0" applyFont="1" applyFill="1" applyBorder="1" applyAlignment="1">
      <alignment horizontal="left" vertical="top" textRotation="255" wrapText="1"/>
    </xf>
    <xf numFmtId="0" fontId="4" fillId="0" borderId="28" xfId="0" applyFont="1" applyFill="1" applyBorder="1" applyAlignment="1">
      <alignment horizontal="left" vertical="top" textRotation="255" wrapText="1"/>
    </xf>
    <xf numFmtId="0" fontId="4" fillId="0" borderId="29" xfId="0" applyFont="1" applyFill="1" applyBorder="1" applyAlignment="1">
      <alignment horizontal="center" vertical="top" wrapText="1"/>
    </xf>
    <xf numFmtId="0" fontId="16" fillId="0" borderId="0" xfId="0" applyFont="1" applyFill="1" applyBorder="1" applyAlignment="1">
      <alignment vertical="top"/>
    </xf>
    <xf numFmtId="0" fontId="19" fillId="0" borderId="0" xfId="0" applyFont="1" applyFill="1" applyBorder="1" applyAlignment="1">
      <alignment vertical="top" wrapText="1"/>
    </xf>
    <xf numFmtId="0" fontId="16" fillId="0" borderId="0" xfId="0" applyFont="1" applyFill="1" applyBorder="1" applyAlignment="1">
      <alignment vertical="top" wrapText="1"/>
    </xf>
    <xf numFmtId="0" fontId="24" fillId="0" borderId="0" xfId="0" applyFont="1" applyBorder="1" applyAlignment="1">
      <alignment horizontal="justify" vertical="top" textRotation="255"/>
    </xf>
    <xf numFmtId="177" fontId="16" fillId="0" borderId="0" xfId="0" applyNumberFormat="1" applyFont="1" applyFill="1" applyBorder="1" applyAlignment="1">
      <alignment vertical="top"/>
    </xf>
    <xf numFmtId="0" fontId="20" fillId="0" borderId="0" xfId="0" applyFont="1" applyFill="1" applyBorder="1" applyAlignment="1">
      <alignment vertical="center"/>
    </xf>
    <xf numFmtId="0" fontId="4" fillId="0" borderId="39" xfId="0" applyFont="1" applyFill="1" applyBorder="1" applyAlignment="1">
      <alignment horizontal="left" vertical="top" textRotation="255" wrapText="1"/>
    </xf>
    <xf numFmtId="0" fontId="4" fillId="0" borderId="28" xfId="0" applyFont="1" applyFill="1" applyBorder="1" applyAlignment="1">
      <alignment horizontal="center" vertical="top" textRotation="255" wrapText="1"/>
    </xf>
    <xf numFmtId="0" fontId="4" fillId="0" borderId="27" xfId="0" applyFont="1" applyFill="1" applyBorder="1" applyAlignment="1">
      <alignment horizontal="center" vertical="top" textRotation="255" wrapText="1"/>
    </xf>
    <xf numFmtId="0" fontId="4" fillId="0" borderId="28" xfId="0" applyFont="1" applyFill="1" applyBorder="1" applyAlignment="1">
      <alignment horizontal="center" vertical="top" wrapText="1"/>
    </xf>
    <xf numFmtId="0" fontId="23" fillId="0" borderId="17" xfId="2" applyFont="1" applyFill="1" applyBorder="1" applyAlignment="1">
      <alignment horizontal="center" vertical="center" wrapText="1"/>
    </xf>
    <xf numFmtId="176" fontId="13" fillId="0" borderId="94" xfId="2" applyNumberFormat="1" applyFont="1" applyFill="1" applyBorder="1" applyAlignment="1">
      <alignment horizontal="center" vertical="center" shrinkToFit="1"/>
    </xf>
    <xf numFmtId="176" fontId="13" fillId="0" borderId="93" xfId="2" applyNumberFormat="1" applyFont="1" applyFill="1" applyBorder="1" applyAlignment="1">
      <alignment horizontal="center" vertical="center" shrinkToFit="1"/>
    </xf>
    <xf numFmtId="176" fontId="13" fillId="0" borderId="116" xfId="2" applyNumberFormat="1" applyFont="1" applyFill="1" applyBorder="1" applyAlignment="1">
      <alignment horizontal="center" vertical="center" shrinkToFit="1"/>
    </xf>
    <xf numFmtId="0" fontId="23" fillId="0" borderId="72" xfId="2" applyFont="1" applyFill="1" applyBorder="1" applyAlignment="1">
      <alignment horizontal="center" vertical="top" textRotation="255" wrapText="1"/>
    </xf>
    <xf numFmtId="0" fontId="23" fillId="0" borderId="6" xfId="2" applyFont="1" applyFill="1" applyBorder="1" applyAlignment="1">
      <alignment horizontal="center" vertical="top" textRotation="255" wrapText="1"/>
    </xf>
    <xf numFmtId="0" fontId="23" fillId="0" borderId="3" xfId="2" applyFont="1" applyFill="1" applyBorder="1" applyAlignment="1">
      <alignment horizontal="center" vertical="top" textRotation="255" wrapText="1"/>
    </xf>
    <xf numFmtId="0" fontId="23" fillId="0" borderId="4" xfId="2" applyFont="1" applyFill="1" applyBorder="1" applyAlignment="1">
      <alignment horizontal="center" vertical="top" textRotation="255" wrapText="1"/>
    </xf>
    <xf numFmtId="0" fontId="23" fillId="0" borderId="5" xfId="2" applyFont="1" applyFill="1" applyBorder="1" applyAlignment="1">
      <alignment horizontal="center" vertical="top" textRotation="255" wrapText="1"/>
    </xf>
    <xf numFmtId="0" fontId="23" fillId="0" borderId="92" xfId="2" applyFont="1" applyFill="1" applyBorder="1" applyAlignment="1">
      <alignment horizontal="center" vertical="top" textRotation="255" wrapText="1"/>
    </xf>
    <xf numFmtId="0" fontId="23" fillId="0" borderId="4" xfId="2" applyFont="1" applyFill="1" applyBorder="1" applyAlignment="1">
      <alignment horizontal="center" vertical="top" textRotation="255"/>
    </xf>
    <xf numFmtId="0" fontId="4" fillId="0" borderId="40" xfId="0" applyFont="1" applyFill="1" applyBorder="1" applyAlignment="1">
      <alignment horizontal="left" vertical="top" textRotation="255" wrapText="1"/>
    </xf>
    <xf numFmtId="0" fontId="4" fillId="0" borderId="72" xfId="0" applyNumberFormat="1" applyFont="1" applyFill="1" applyBorder="1" applyAlignment="1">
      <alignment horizontal="center" vertical="top" wrapText="1"/>
    </xf>
    <xf numFmtId="0" fontId="4" fillId="0" borderId="4" xfId="0" applyNumberFormat="1" applyFont="1" applyFill="1" applyBorder="1" applyAlignment="1">
      <alignment horizontal="center" vertical="top" wrapText="1"/>
    </xf>
    <xf numFmtId="0" fontId="4" fillId="0" borderId="5" xfId="0" applyNumberFormat="1" applyFont="1" applyFill="1" applyBorder="1" applyAlignment="1">
      <alignment horizontal="center" vertical="top" wrapText="1"/>
    </xf>
    <xf numFmtId="0" fontId="4" fillId="0" borderId="127" xfId="0" applyNumberFormat="1" applyFont="1" applyFill="1" applyBorder="1" applyAlignment="1">
      <alignment horizontal="center" vertical="top" wrapText="1"/>
    </xf>
    <xf numFmtId="0" fontId="4" fillId="0" borderId="120" xfId="0" applyFont="1" applyFill="1" applyBorder="1" applyAlignment="1">
      <alignment horizontal="center" vertical="center" wrapText="1" shrinkToFit="1"/>
    </xf>
    <xf numFmtId="0" fontId="23" fillId="0" borderId="79" xfId="0" applyFont="1" applyFill="1" applyBorder="1" applyAlignment="1">
      <alignment horizontal="center" vertical="center" shrinkToFit="1"/>
    </xf>
    <xf numFmtId="0" fontId="23" fillId="0" borderId="1" xfId="0" applyFont="1" applyFill="1" applyBorder="1" applyAlignment="1">
      <alignment horizontal="center" vertical="center" shrinkToFit="1"/>
    </xf>
    <xf numFmtId="0" fontId="26" fillId="0" borderId="77" xfId="0" applyFont="1" applyFill="1" applyBorder="1" applyAlignment="1">
      <alignment vertical="center"/>
    </xf>
    <xf numFmtId="176" fontId="23" fillId="0" borderId="100" xfId="2" applyNumberFormat="1" applyFont="1" applyFill="1" applyBorder="1" applyAlignment="1">
      <alignment horizontal="center" vertical="center" shrinkToFit="1"/>
    </xf>
    <xf numFmtId="176" fontId="23" fillId="0" borderId="108" xfId="2" applyNumberFormat="1" applyFont="1" applyFill="1" applyBorder="1" applyAlignment="1">
      <alignment horizontal="center" vertical="center" shrinkToFit="1"/>
    </xf>
    <xf numFmtId="176" fontId="23" fillId="0" borderId="88" xfId="2" applyNumberFormat="1" applyFont="1" applyFill="1" applyBorder="1" applyAlignment="1">
      <alignment horizontal="center" vertical="center" shrinkToFit="1"/>
    </xf>
    <xf numFmtId="176" fontId="23" fillId="0" borderId="118" xfId="2" applyNumberFormat="1" applyFont="1" applyFill="1" applyBorder="1" applyAlignment="1">
      <alignment horizontal="center" vertical="center" shrinkToFit="1"/>
    </xf>
    <xf numFmtId="41" fontId="25" fillId="0" borderId="0" xfId="1" applyFont="1" applyFill="1">
      <alignment vertical="center"/>
    </xf>
    <xf numFmtId="176" fontId="19" fillId="0" borderId="41" xfId="0" applyNumberFormat="1" applyFont="1" applyFill="1" applyBorder="1" applyAlignment="1">
      <alignment vertical="center" shrinkToFit="1"/>
    </xf>
    <xf numFmtId="176" fontId="16" fillId="0" borderId="0" xfId="2" applyNumberFormat="1" applyFont="1" applyFill="1"/>
    <xf numFmtId="176" fontId="5" fillId="0" borderId="0" xfId="2" applyNumberFormat="1" applyFont="1" applyFill="1" applyAlignment="1">
      <alignment vertical="center"/>
    </xf>
    <xf numFmtId="0" fontId="8" fillId="0" borderId="0" xfId="2" applyFont="1" applyFill="1" applyAlignment="1">
      <alignment horizontal="center"/>
    </xf>
    <xf numFmtId="0" fontId="8" fillId="0" borderId="0" xfId="2" applyFont="1" applyFill="1" applyAlignment="1">
      <alignment horizontal="center" vertical="center"/>
    </xf>
    <xf numFmtId="0" fontId="13" fillId="0" borderId="142" xfId="2" applyFont="1" applyFill="1" applyBorder="1" applyAlignment="1">
      <alignment horizontal="right" vertical="center" shrinkToFit="1"/>
    </xf>
    <xf numFmtId="176" fontId="13" fillId="0" borderId="141" xfId="2" applyNumberFormat="1" applyFont="1" applyFill="1" applyBorder="1" applyAlignment="1">
      <alignment horizontal="center" vertical="center" shrinkToFit="1"/>
    </xf>
    <xf numFmtId="176" fontId="23" fillId="0" borderId="142" xfId="2" applyNumberFormat="1" applyFont="1" applyFill="1" applyBorder="1" applyAlignment="1">
      <alignment horizontal="center" vertical="center" shrinkToFit="1"/>
    </xf>
    <xf numFmtId="176" fontId="23" fillId="0" borderId="36" xfId="2" applyNumberFormat="1" applyFont="1" applyFill="1" applyBorder="1" applyAlignment="1">
      <alignment horizontal="center" vertical="center" shrinkToFit="1"/>
    </xf>
    <xf numFmtId="176" fontId="23" fillId="0" borderId="37" xfId="2" applyNumberFormat="1" applyFont="1" applyFill="1" applyBorder="1" applyAlignment="1">
      <alignment horizontal="center" vertical="center" shrinkToFit="1"/>
    </xf>
    <xf numFmtId="176" fontId="23" fillId="0" borderId="38" xfId="2" applyNumberFormat="1" applyFont="1" applyFill="1" applyBorder="1" applyAlignment="1">
      <alignment horizontal="center" vertical="center" shrinkToFit="1"/>
    </xf>
    <xf numFmtId="176" fontId="23" fillId="0" borderId="70" xfId="2" applyNumberFormat="1" applyFont="1" applyFill="1" applyBorder="1" applyAlignment="1">
      <alignment horizontal="center" vertical="center" shrinkToFit="1"/>
    </xf>
    <xf numFmtId="0" fontId="6" fillId="0" borderId="28" xfId="2" applyFont="1" applyFill="1" applyBorder="1"/>
    <xf numFmtId="0" fontId="6" fillId="0" borderId="46" xfId="2" applyFont="1" applyFill="1" applyBorder="1"/>
    <xf numFmtId="0" fontId="6" fillId="0" borderId="32" xfId="2" applyFont="1" applyFill="1" applyBorder="1"/>
    <xf numFmtId="0" fontId="6" fillId="0" borderId="48" xfId="2" applyFont="1" applyFill="1" applyBorder="1"/>
    <xf numFmtId="0" fontId="6" fillId="0" borderId="26" xfId="2" applyFont="1" applyFill="1" applyBorder="1"/>
    <xf numFmtId="0" fontId="6" fillId="0" borderId="44" xfId="2" applyFont="1" applyFill="1" applyBorder="1"/>
    <xf numFmtId="0" fontId="6" fillId="0" borderId="29" xfId="2" applyFont="1" applyFill="1" applyBorder="1"/>
    <xf numFmtId="0" fontId="6" fillId="0" borderId="47" xfId="2" applyFont="1" applyFill="1" applyBorder="1"/>
    <xf numFmtId="0" fontId="6" fillId="0" borderId="145" xfId="2" applyFont="1" applyFill="1" applyBorder="1"/>
    <xf numFmtId="0" fontId="6" fillId="0" borderId="59" xfId="2" applyFont="1" applyFill="1" applyBorder="1"/>
    <xf numFmtId="0" fontId="6" fillId="0" borderId="50" xfId="2" applyFont="1" applyFill="1" applyBorder="1"/>
    <xf numFmtId="0" fontId="6" fillId="0" borderId="51" xfId="2" applyFont="1" applyFill="1" applyBorder="1"/>
    <xf numFmtId="176" fontId="23" fillId="0" borderId="60" xfId="2" applyNumberFormat="1" applyFont="1" applyFill="1" applyBorder="1" applyAlignment="1">
      <alignment horizontal="center" vertical="center" shrinkToFit="1"/>
    </xf>
    <xf numFmtId="176" fontId="23" fillId="0" borderId="144" xfId="2" applyNumberFormat="1" applyFont="1" applyFill="1" applyBorder="1" applyAlignment="1">
      <alignment horizontal="center" vertical="center" shrinkToFit="1"/>
    </xf>
    <xf numFmtId="0" fontId="23" fillId="0" borderId="145" xfId="2" applyFont="1" applyFill="1" applyBorder="1" applyAlignment="1">
      <alignment horizontal="center" vertical="center" wrapText="1" shrinkToFit="1"/>
    </xf>
    <xf numFmtId="176" fontId="23" fillId="0" borderId="50" xfId="2" applyNumberFormat="1" applyFont="1" applyFill="1" applyBorder="1" applyAlignment="1">
      <alignment horizontal="center" vertical="center" shrinkToFit="1"/>
    </xf>
    <xf numFmtId="176" fontId="23" fillId="0" borderId="149" xfId="2" applyNumberFormat="1" applyFont="1" applyFill="1" applyBorder="1" applyAlignment="1">
      <alignment horizontal="center" vertical="center" shrinkToFit="1"/>
    </xf>
    <xf numFmtId="176" fontId="23" fillId="0" borderId="150" xfId="2" applyNumberFormat="1" applyFont="1" applyFill="1" applyBorder="1" applyAlignment="1">
      <alignment horizontal="center" vertical="center" shrinkToFit="1"/>
    </xf>
    <xf numFmtId="176" fontId="23" fillId="0" borderId="151" xfId="2" applyNumberFormat="1" applyFont="1" applyFill="1" applyBorder="1" applyAlignment="1">
      <alignment horizontal="center" vertical="center" shrinkToFit="1"/>
    </xf>
    <xf numFmtId="176" fontId="23" fillId="0" borderId="152" xfId="2" applyNumberFormat="1" applyFont="1" applyFill="1" applyBorder="1" applyAlignment="1">
      <alignment horizontal="center" vertical="center" shrinkToFit="1"/>
    </xf>
    <xf numFmtId="0" fontId="23" fillId="0" borderId="55" xfId="2" applyFont="1" applyFill="1" applyBorder="1" applyAlignment="1">
      <alignment horizontal="center" vertical="center" wrapText="1" shrinkToFit="1"/>
    </xf>
    <xf numFmtId="0" fontId="23" fillId="0" borderId="153" xfId="2" applyFont="1" applyFill="1" applyBorder="1" applyAlignment="1">
      <alignment horizontal="center" vertical="top" textRotation="255" wrapText="1"/>
    </xf>
    <xf numFmtId="176" fontId="23" fillId="0" borderId="154" xfId="2" applyNumberFormat="1" applyFont="1" applyFill="1" applyBorder="1" applyAlignment="1">
      <alignment horizontal="center" vertical="center" shrinkToFit="1"/>
    </xf>
    <xf numFmtId="176" fontId="23" fillId="0" borderId="127" xfId="2" applyNumberFormat="1" applyFont="1" applyFill="1" applyBorder="1" applyAlignment="1">
      <alignment horizontal="center" vertical="center" shrinkToFit="1"/>
    </xf>
    <xf numFmtId="176" fontId="23" fillId="0" borderId="31" xfId="2" applyNumberFormat="1" applyFont="1" applyFill="1" applyBorder="1" applyAlignment="1">
      <alignment horizontal="center" vertical="center" shrinkToFit="1"/>
    </xf>
    <xf numFmtId="176" fontId="13" fillId="0" borderId="155" xfId="2" applyNumberFormat="1" applyFont="1" applyFill="1" applyBorder="1" applyAlignment="1">
      <alignment horizontal="center" vertical="center" shrinkToFit="1"/>
    </xf>
    <xf numFmtId="176" fontId="23" fillId="0" borderId="156" xfId="2" applyNumberFormat="1" applyFont="1" applyFill="1" applyBorder="1" applyAlignment="1">
      <alignment horizontal="center" vertical="center" shrinkToFit="1"/>
    </xf>
    <xf numFmtId="176" fontId="13" fillId="0" borderId="157" xfId="2" applyNumberFormat="1" applyFont="1" applyFill="1" applyBorder="1" applyAlignment="1">
      <alignment horizontal="center" vertical="center" shrinkToFit="1"/>
    </xf>
    <xf numFmtId="0" fontId="10" fillId="0" borderId="0" xfId="2" applyFont="1" applyFill="1" applyBorder="1" applyAlignment="1"/>
    <xf numFmtId="176" fontId="13" fillId="0" borderId="143" xfId="2" applyNumberFormat="1" applyFont="1" applyFill="1" applyBorder="1" applyAlignment="1">
      <alignment horizontal="center" vertical="center" shrinkToFit="1"/>
    </xf>
    <xf numFmtId="176" fontId="13" fillId="0" borderId="158" xfId="2" applyNumberFormat="1" applyFont="1" applyFill="1" applyBorder="1" applyAlignment="1">
      <alignment horizontal="center" vertical="center" shrinkToFit="1"/>
    </xf>
    <xf numFmtId="176" fontId="23" fillId="0" borderId="160" xfId="2" applyNumberFormat="1" applyFont="1" applyFill="1" applyBorder="1" applyAlignment="1">
      <alignment horizontal="center" vertical="center" shrinkToFit="1"/>
    </xf>
    <xf numFmtId="176" fontId="23" fillId="0" borderId="161" xfId="2" applyNumberFormat="1" applyFont="1" applyFill="1" applyBorder="1" applyAlignment="1">
      <alignment horizontal="center" vertical="center" shrinkToFit="1"/>
    </xf>
    <xf numFmtId="176" fontId="23" fillId="0" borderId="163" xfId="2" applyNumberFormat="1" applyFont="1" applyFill="1" applyBorder="1" applyAlignment="1">
      <alignment horizontal="center" vertical="center" shrinkToFit="1"/>
    </xf>
    <xf numFmtId="176" fontId="23" fillId="0" borderId="165" xfId="2" applyNumberFormat="1" applyFont="1" applyFill="1" applyBorder="1" applyAlignment="1">
      <alignment horizontal="center" vertical="center" shrinkToFit="1"/>
    </xf>
    <xf numFmtId="176" fontId="23" fillId="0" borderId="21" xfId="2" applyNumberFormat="1" applyFont="1" applyFill="1" applyBorder="1" applyAlignment="1">
      <alignment horizontal="center" vertical="center" shrinkToFit="1"/>
    </xf>
    <xf numFmtId="176" fontId="23" fillId="0" borderId="30" xfId="2" applyNumberFormat="1" applyFont="1" applyFill="1" applyBorder="1" applyAlignment="1">
      <alignment horizontal="center" vertical="center" shrinkToFit="1"/>
    </xf>
    <xf numFmtId="176" fontId="23" fillId="0" borderId="123" xfId="2" applyNumberFormat="1" applyFont="1" applyFill="1" applyBorder="1" applyAlignment="1">
      <alignment horizontal="center" vertical="center" shrinkToFit="1"/>
    </xf>
    <xf numFmtId="0" fontId="13" fillId="0" borderId="4" xfId="2" applyFont="1" applyFill="1" applyBorder="1" applyAlignment="1">
      <alignment horizontal="center" vertical="top" textRotation="255" wrapText="1"/>
    </xf>
    <xf numFmtId="0" fontId="13" fillId="0" borderId="143" xfId="2" applyFont="1" applyFill="1" applyBorder="1" applyAlignment="1">
      <alignment vertical="center" shrinkToFit="1"/>
    </xf>
    <xf numFmtId="176" fontId="23" fillId="0" borderId="164" xfId="2" applyNumberFormat="1" applyFont="1" applyFill="1" applyBorder="1" applyAlignment="1">
      <alignment horizontal="center" vertical="center" shrinkToFit="1"/>
    </xf>
    <xf numFmtId="176" fontId="23" fillId="0" borderId="51" xfId="2" applyNumberFormat="1" applyFont="1" applyFill="1" applyBorder="1" applyAlignment="1">
      <alignment horizontal="center" vertical="center" shrinkToFit="1"/>
    </xf>
    <xf numFmtId="0" fontId="4" fillId="0" borderId="37" xfId="0" applyFont="1" applyFill="1" applyBorder="1" applyAlignment="1">
      <alignment vertical="top" textRotation="255" wrapText="1"/>
    </xf>
    <xf numFmtId="41" fontId="3" fillId="0" borderId="48" xfId="1" applyFont="1" applyFill="1" applyBorder="1" applyAlignment="1">
      <alignment vertical="center" shrinkToFit="1"/>
    </xf>
    <xf numFmtId="0" fontId="3" fillId="0" borderId="4" xfId="0" applyNumberFormat="1" applyFont="1" applyFill="1" applyBorder="1" applyAlignment="1">
      <alignment horizontal="center" vertical="top" wrapText="1"/>
    </xf>
    <xf numFmtId="176" fontId="3" fillId="0" borderId="7" xfId="0" applyNumberFormat="1" applyFont="1" applyFill="1" applyBorder="1" applyAlignment="1">
      <alignment vertical="center" shrinkToFit="1"/>
    </xf>
    <xf numFmtId="176" fontId="3" fillId="0" borderId="11" xfId="0" applyNumberFormat="1" applyFont="1" applyFill="1" applyBorder="1" applyAlignment="1">
      <alignment horizontal="center" vertical="center" shrinkToFit="1"/>
    </xf>
    <xf numFmtId="176" fontId="3" fillId="0" borderId="14" xfId="0" applyNumberFormat="1" applyFont="1" applyFill="1" applyBorder="1" applyAlignment="1">
      <alignment vertical="center" shrinkToFit="1"/>
    </xf>
    <xf numFmtId="176" fontId="3" fillId="0" borderId="78" xfId="0" applyNumberFormat="1" applyFont="1" applyFill="1" applyBorder="1" applyAlignment="1">
      <alignment vertical="center" shrinkToFit="1"/>
    </xf>
    <xf numFmtId="176" fontId="3" fillId="0" borderId="81" xfId="0" applyNumberFormat="1" applyFont="1" applyFill="1" applyBorder="1" applyAlignment="1">
      <alignment vertical="center" shrinkToFit="1"/>
    </xf>
    <xf numFmtId="41" fontId="4" fillId="0" borderId="16" xfId="1" applyFont="1" applyFill="1" applyBorder="1" applyAlignment="1">
      <alignment vertical="center" shrinkToFit="1"/>
    </xf>
    <xf numFmtId="41" fontId="4" fillId="0" borderId="74" xfId="1" applyFont="1" applyFill="1" applyBorder="1" applyAlignment="1">
      <alignment vertical="center" shrinkToFit="1"/>
    </xf>
    <xf numFmtId="41" fontId="4" fillId="0" borderId="23" xfId="1" applyFont="1" applyFill="1" applyBorder="1" applyAlignment="1">
      <alignment vertical="center" shrinkToFit="1"/>
    </xf>
    <xf numFmtId="176" fontId="4" fillId="0" borderId="75" xfId="0" applyNumberFormat="1" applyFont="1" applyFill="1" applyBorder="1" applyAlignment="1">
      <alignment vertical="center" shrinkToFit="1"/>
    </xf>
    <xf numFmtId="176" fontId="4" fillId="0" borderId="24" xfId="0" applyNumberFormat="1" applyFont="1" applyFill="1" applyBorder="1" applyAlignment="1">
      <alignment vertical="center" shrinkToFit="1"/>
    </xf>
    <xf numFmtId="41" fontId="4" fillId="0" borderId="73" xfId="1" applyFont="1" applyFill="1" applyBorder="1" applyAlignment="1">
      <alignment vertical="center" shrinkToFit="1"/>
    </xf>
    <xf numFmtId="41" fontId="4" fillId="0" borderId="19" xfId="1" applyFont="1" applyFill="1" applyBorder="1" applyAlignment="1">
      <alignment vertical="center" shrinkToFit="1"/>
    </xf>
    <xf numFmtId="41" fontId="4" fillId="0" borderId="73" xfId="1" applyFont="1" applyFill="1" applyBorder="1" applyAlignment="1">
      <alignment horizontal="center" vertical="center" shrinkToFit="1"/>
    </xf>
    <xf numFmtId="41" fontId="4" fillId="0" borderId="24" xfId="1" applyFont="1" applyFill="1" applyBorder="1" applyAlignment="1">
      <alignment vertical="center" shrinkToFit="1"/>
    </xf>
    <xf numFmtId="41" fontId="4" fillId="0" borderId="20" xfId="1" applyFont="1" applyFill="1" applyBorder="1" applyAlignment="1">
      <alignment vertical="center" shrinkToFit="1"/>
    </xf>
    <xf numFmtId="41" fontId="4" fillId="0" borderId="63" xfId="1" applyFont="1" applyFill="1" applyBorder="1" applyAlignment="1">
      <alignment vertical="center" shrinkToFit="1"/>
    </xf>
    <xf numFmtId="41" fontId="4" fillId="0" borderId="80" xfId="1" applyFont="1" applyFill="1" applyBorder="1" applyAlignment="1">
      <alignment vertical="center" shrinkToFit="1"/>
    </xf>
    <xf numFmtId="41" fontId="4" fillId="0" borderId="22" xfId="1" applyFont="1" applyFill="1" applyBorder="1" applyAlignment="1">
      <alignment vertical="center" shrinkToFit="1"/>
    </xf>
    <xf numFmtId="41" fontId="4" fillId="0" borderId="20" xfId="1" applyFont="1" applyFill="1" applyBorder="1" applyAlignment="1">
      <alignment horizontal="center" vertical="center" shrinkToFit="1"/>
    </xf>
    <xf numFmtId="41" fontId="4" fillId="0" borderId="29" xfId="1" applyFont="1" applyFill="1" applyBorder="1" applyAlignment="1">
      <alignment vertical="center" shrinkToFit="1"/>
    </xf>
    <xf numFmtId="176" fontId="4" fillId="0" borderId="42" xfId="0" applyNumberFormat="1" applyFont="1" applyFill="1" applyBorder="1" applyAlignment="1">
      <alignment vertical="center" shrinkToFit="1"/>
    </xf>
    <xf numFmtId="41" fontId="4" fillId="0" borderId="0" xfId="1" applyFont="1" applyFill="1" applyBorder="1" applyAlignment="1">
      <alignment vertical="center" shrinkToFit="1"/>
    </xf>
    <xf numFmtId="41" fontId="4" fillId="0" borderId="121" xfId="1" applyFont="1" applyFill="1" applyBorder="1" applyAlignment="1">
      <alignment vertical="center" shrinkToFit="1"/>
    </xf>
    <xf numFmtId="41" fontId="4" fillId="0" borderId="124" xfId="1" applyFont="1" applyFill="1" applyBorder="1" applyAlignment="1">
      <alignment vertical="center" shrinkToFit="1"/>
    </xf>
    <xf numFmtId="41" fontId="4" fillId="0" borderId="48" xfId="1" applyFont="1" applyFill="1" applyBorder="1" applyAlignment="1">
      <alignment vertical="center" shrinkToFit="1"/>
    </xf>
    <xf numFmtId="176" fontId="4" fillId="0" borderId="125" xfId="0" applyNumberFormat="1" applyFont="1" applyFill="1" applyBorder="1" applyAlignment="1">
      <alignment vertical="center" shrinkToFit="1"/>
    </xf>
    <xf numFmtId="41" fontId="4" fillId="0" borderId="46" xfId="1" applyFont="1" applyFill="1" applyBorder="1" applyAlignment="1">
      <alignment vertical="center" shrinkToFit="1"/>
    </xf>
    <xf numFmtId="41" fontId="4" fillId="0" borderId="47" xfId="1" applyFont="1" applyFill="1" applyBorder="1" applyAlignment="1">
      <alignment horizontal="center" vertical="center" shrinkToFit="1"/>
    </xf>
    <xf numFmtId="41" fontId="4" fillId="0" borderId="47" xfId="1" applyFont="1" applyFill="1" applyBorder="1" applyAlignment="1">
      <alignment vertical="center" shrinkToFit="1"/>
    </xf>
    <xf numFmtId="41" fontId="4" fillId="0" borderId="125" xfId="1" applyFont="1" applyFill="1" applyBorder="1" applyAlignment="1">
      <alignment vertical="center" shrinkToFit="1"/>
    </xf>
    <xf numFmtId="41" fontId="4" fillId="0" borderId="66" xfId="1" applyFont="1" applyFill="1" applyBorder="1" applyAlignment="1">
      <alignment vertical="center" shrinkToFit="1"/>
    </xf>
    <xf numFmtId="0" fontId="3" fillId="0" borderId="134" xfId="0" applyNumberFormat="1" applyFont="1" applyFill="1" applyBorder="1" applyAlignment="1">
      <alignment horizontal="center" vertical="top" wrapText="1"/>
    </xf>
    <xf numFmtId="176" fontId="3" fillId="0" borderId="14" xfId="0" applyNumberFormat="1" applyFont="1" applyFill="1" applyBorder="1" applyAlignment="1">
      <alignment horizontal="center" vertical="center" shrinkToFit="1"/>
    </xf>
    <xf numFmtId="176" fontId="4" fillId="0" borderId="68" xfId="0" applyNumberFormat="1" applyFont="1" applyFill="1" applyBorder="1" applyAlignment="1">
      <alignment vertical="center" shrinkToFit="1"/>
    </xf>
    <xf numFmtId="176" fontId="4" fillId="0" borderId="68" xfId="0" applyNumberFormat="1" applyFont="1" applyFill="1" applyBorder="1" applyAlignment="1">
      <alignment horizontal="center" vertical="center" shrinkToFit="1"/>
    </xf>
    <xf numFmtId="176" fontId="4" fillId="0" borderId="23" xfId="0" applyNumberFormat="1" applyFont="1" applyFill="1" applyBorder="1" applyAlignment="1">
      <alignment vertical="center" shrinkToFit="1"/>
    </xf>
    <xf numFmtId="176" fontId="4" fillId="0" borderId="19" xfId="0" applyNumberFormat="1" applyFont="1" applyFill="1" applyBorder="1" applyAlignment="1">
      <alignment horizontal="center" vertical="center" shrinkToFit="1"/>
    </xf>
    <xf numFmtId="176" fontId="4" fillId="0" borderId="18" xfId="0" applyNumberFormat="1" applyFont="1" applyFill="1" applyBorder="1" applyAlignment="1">
      <alignment vertical="center" shrinkToFit="1"/>
    </xf>
    <xf numFmtId="176" fontId="4" fillId="0" borderId="69" xfId="0" applyNumberFormat="1" applyFont="1" applyFill="1" applyBorder="1" applyAlignment="1">
      <alignment horizontal="center" vertical="center" shrinkToFit="1"/>
    </xf>
    <xf numFmtId="176" fontId="4" fillId="0" borderId="32" xfId="0" applyNumberFormat="1" applyFont="1" applyFill="1" applyBorder="1" applyAlignment="1">
      <alignment vertical="center" shrinkToFit="1"/>
    </xf>
    <xf numFmtId="176" fontId="4" fillId="0" borderId="28" xfId="0" applyNumberFormat="1" applyFont="1" applyFill="1" applyBorder="1" applyAlignment="1">
      <alignment horizontal="center" vertical="center" shrinkToFit="1"/>
    </xf>
    <xf numFmtId="41" fontId="4" fillId="0" borderId="113" xfId="1" applyFont="1" applyFill="1" applyBorder="1" applyAlignment="1">
      <alignment vertical="center" shrinkToFit="1"/>
    </xf>
    <xf numFmtId="176" fontId="4" fillId="0" borderId="70" xfId="0" applyNumberFormat="1" applyFont="1" applyFill="1" applyBorder="1" applyAlignment="1">
      <alignment vertical="center" shrinkToFit="1"/>
    </xf>
    <xf numFmtId="176" fontId="4" fillId="0" borderId="70" xfId="0" applyNumberFormat="1" applyFont="1" applyFill="1" applyBorder="1" applyAlignment="1">
      <alignment horizontal="center" vertical="center" shrinkToFit="1"/>
    </xf>
    <xf numFmtId="176" fontId="4" fillId="0" borderId="41" xfId="0" applyNumberFormat="1" applyFont="1" applyFill="1" applyBorder="1" applyAlignment="1">
      <alignment vertical="center" shrinkToFit="1"/>
    </xf>
    <xf numFmtId="176" fontId="4" fillId="0" borderId="36" xfId="0" applyNumberFormat="1" applyFont="1" applyFill="1" applyBorder="1" applyAlignment="1">
      <alignment vertical="center" shrinkToFit="1"/>
    </xf>
    <xf numFmtId="176" fontId="4" fillId="0" borderId="48" xfId="0" applyNumberFormat="1" applyFont="1" applyFill="1" applyBorder="1" applyAlignment="1">
      <alignment vertical="center" shrinkToFit="1"/>
    </xf>
    <xf numFmtId="176" fontId="4" fillId="0" borderId="71" xfId="0" applyNumberFormat="1" applyFont="1" applyFill="1" applyBorder="1" applyAlignment="1">
      <alignment vertical="center" shrinkToFit="1"/>
    </xf>
    <xf numFmtId="176" fontId="4" fillId="0" borderId="71" xfId="0" applyNumberFormat="1" applyFont="1" applyFill="1" applyBorder="1" applyAlignment="1">
      <alignment horizontal="center" vertical="center" shrinkToFit="1"/>
    </xf>
    <xf numFmtId="176" fontId="4" fillId="0" borderId="45" xfId="0" applyNumberFormat="1" applyFont="1" applyFill="1" applyBorder="1" applyAlignment="1">
      <alignment vertical="center" shrinkToFit="1"/>
    </xf>
    <xf numFmtId="0" fontId="23" fillId="0" borderId="18" xfId="2" applyFont="1" applyFill="1" applyBorder="1" applyAlignment="1">
      <alignment horizontal="center" vertical="center"/>
    </xf>
    <xf numFmtId="0" fontId="8" fillId="0" borderId="0" xfId="2" applyFont="1" applyFill="1" applyAlignment="1">
      <alignment horizontal="center"/>
    </xf>
    <xf numFmtId="176" fontId="28" fillId="0" borderId="19" xfId="2" applyNumberFormat="1" applyFont="1" applyFill="1" applyBorder="1" applyAlignment="1">
      <alignment horizontal="center" vertical="center" shrinkToFit="1"/>
    </xf>
    <xf numFmtId="176" fontId="28" fillId="0" borderId="68" xfId="2" applyNumberFormat="1" applyFont="1" applyFill="1" applyBorder="1" applyAlignment="1">
      <alignment horizontal="center" vertical="center" shrinkToFit="1"/>
    </xf>
    <xf numFmtId="176" fontId="28" fillId="0" borderId="20" xfId="2" applyNumberFormat="1" applyFont="1" applyFill="1" applyBorder="1" applyAlignment="1">
      <alignment horizontal="center" vertical="center" shrinkToFit="1"/>
    </xf>
    <xf numFmtId="176" fontId="28" fillId="0" borderId="28" xfId="2" applyNumberFormat="1" applyFont="1" applyFill="1" applyBorder="1" applyAlignment="1">
      <alignment horizontal="center" vertical="center" shrinkToFit="1"/>
    </xf>
    <xf numFmtId="176" fontId="28" fillId="0" borderId="18" xfId="2" applyNumberFormat="1" applyFont="1" applyFill="1" applyBorder="1" applyAlignment="1">
      <alignment horizontal="center" vertical="center" shrinkToFit="1"/>
    </xf>
    <xf numFmtId="176" fontId="28" fillId="0" borderId="32" xfId="2" applyNumberFormat="1" applyFont="1" applyFill="1" applyBorder="1" applyAlignment="1">
      <alignment horizontal="center" vertical="center" shrinkToFit="1"/>
    </xf>
    <xf numFmtId="176" fontId="28" fillId="0" borderId="22" xfId="2" applyNumberFormat="1" applyFont="1" applyFill="1" applyBorder="1" applyAlignment="1">
      <alignment horizontal="center" vertical="center" shrinkToFit="1"/>
    </xf>
    <xf numFmtId="176" fontId="28" fillId="0" borderId="156" xfId="2" applyNumberFormat="1" applyFont="1" applyFill="1" applyBorder="1" applyAlignment="1">
      <alignment horizontal="center" vertical="center" shrinkToFit="1"/>
    </xf>
    <xf numFmtId="176" fontId="28" fillId="0" borderId="69" xfId="2" applyNumberFormat="1" applyFont="1" applyFill="1" applyBorder="1" applyAlignment="1">
      <alignment horizontal="center" vertical="center" shrinkToFit="1"/>
    </xf>
    <xf numFmtId="176" fontId="28" fillId="0" borderId="29" xfId="2" applyNumberFormat="1" applyFont="1" applyFill="1" applyBorder="1" applyAlignment="1">
      <alignment horizontal="center" vertical="center" shrinkToFit="1"/>
    </xf>
    <xf numFmtId="176" fontId="28" fillId="0" borderId="27" xfId="2" applyNumberFormat="1" applyFont="1" applyFill="1" applyBorder="1" applyAlignment="1">
      <alignment horizontal="center" vertical="center" shrinkToFit="1"/>
    </xf>
    <xf numFmtId="176" fontId="28" fillId="0" borderId="31" xfId="2" applyNumberFormat="1" applyFont="1" applyFill="1" applyBorder="1" applyAlignment="1">
      <alignment horizontal="center" vertical="center" shrinkToFit="1"/>
    </xf>
    <xf numFmtId="176" fontId="28" fillId="0" borderId="151" xfId="2" applyNumberFormat="1" applyFont="1" applyFill="1" applyBorder="1" applyAlignment="1">
      <alignment horizontal="center" vertical="center" shrinkToFit="1"/>
    </xf>
    <xf numFmtId="176" fontId="28" fillId="0" borderId="152" xfId="2" applyNumberFormat="1" applyFont="1" applyFill="1" applyBorder="1" applyAlignment="1">
      <alignment horizontal="center" vertical="center" shrinkToFit="1"/>
    </xf>
    <xf numFmtId="176" fontId="28" fillId="0" borderId="160" xfId="2" applyNumberFormat="1" applyFont="1" applyFill="1" applyBorder="1" applyAlignment="1">
      <alignment horizontal="center" vertical="center" shrinkToFit="1"/>
    </xf>
    <xf numFmtId="176" fontId="28" fillId="0" borderId="161" xfId="2" applyNumberFormat="1" applyFont="1" applyFill="1" applyBorder="1" applyAlignment="1">
      <alignment horizontal="center" vertical="center" shrinkToFit="1"/>
    </xf>
    <xf numFmtId="176" fontId="28" fillId="0" borderId="162" xfId="2" applyNumberFormat="1" applyFont="1" applyFill="1" applyBorder="1" applyAlignment="1">
      <alignment horizontal="center" vertical="center" shrinkToFit="1"/>
    </xf>
    <xf numFmtId="176" fontId="28" fillId="0" borderId="159" xfId="2" applyNumberFormat="1" applyFont="1" applyFill="1" applyBorder="1" applyAlignment="1">
      <alignment horizontal="center" vertical="center" shrinkToFit="1"/>
    </xf>
    <xf numFmtId="176" fontId="28" fillId="0" borderId="113" xfId="2" applyNumberFormat="1" applyFont="1" applyFill="1" applyBorder="1" applyAlignment="1">
      <alignment horizontal="center" vertical="center" shrinkToFit="1"/>
    </xf>
    <xf numFmtId="176" fontId="28" fillId="0" borderId="110" xfId="2" applyNumberFormat="1" applyFont="1" applyFill="1" applyBorder="1" applyAlignment="1">
      <alignment horizontal="center" vertical="center" shrinkToFit="1"/>
    </xf>
    <xf numFmtId="176" fontId="28" fillId="0" borderId="115" xfId="2" applyNumberFormat="1" applyFont="1" applyFill="1" applyBorder="1" applyAlignment="1">
      <alignment horizontal="center" vertical="center" shrinkToFit="1"/>
    </xf>
    <xf numFmtId="176" fontId="28" fillId="0" borderId="114" xfId="2" applyNumberFormat="1" applyFont="1" applyFill="1" applyBorder="1" applyAlignment="1">
      <alignment horizontal="center" vertical="center" shrinkToFit="1"/>
    </xf>
    <xf numFmtId="176" fontId="28" fillId="0" borderId="111" xfId="2" applyNumberFormat="1" applyFont="1" applyFill="1" applyBorder="1" applyAlignment="1">
      <alignment horizontal="center" vertical="center" shrinkToFit="1"/>
    </xf>
    <xf numFmtId="176" fontId="28" fillId="0" borderId="105" xfId="2" applyNumberFormat="1" applyFont="1" applyFill="1" applyBorder="1" applyAlignment="1">
      <alignment horizontal="center" vertical="center" shrinkToFit="1"/>
    </xf>
    <xf numFmtId="176" fontId="28" fillId="0" borderId="107" xfId="2" applyNumberFormat="1" applyFont="1" applyFill="1" applyBorder="1" applyAlignment="1">
      <alignment horizontal="center" vertical="center" shrinkToFit="1"/>
    </xf>
    <xf numFmtId="176" fontId="28" fillId="0" borderId="102" xfId="2" applyNumberFormat="1" applyFont="1" applyFill="1" applyBorder="1" applyAlignment="1">
      <alignment horizontal="center" vertical="center" shrinkToFit="1"/>
    </xf>
    <xf numFmtId="176" fontId="28" fillId="0" borderId="106" xfId="2" applyNumberFormat="1" applyFont="1" applyFill="1" applyBorder="1" applyAlignment="1">
      <alignment horizontal="center" vertical="center" shrinkToFit="1"/>
    </xf>
    <xf numFmtId="176" fontId="28" fillId="0" borderId="103" xfId="2" applyNumberFormat="1" applyFont="1" applyFill="1" applyBorder="1" applyAlignment="1">
      <alignment horizontal="center" vertical="center" shrinkToFit="1"/>
    </xf>
    <xf numFmtId="176" fontId="28" fillId="0" borderId="60" xfId="2" applyNumberFormat="1" applyFont="1" applyFill="1" applyBorder="1" applyAlignment="1">
      <alignment horizontal="center" vertical="center" shrinkToFit="1"/>
    </xf>
    <xf numFmtId="176" fontId="28" fillId="0" borderId="50" xfId="2" applyNumberFormat="1" applyFont="1" applyFill="1" applyBorder="1" applyAlignment="1">
      <alignment horizontal="center" vertical="center" shrinkToFit="1"/>
    </xf>
    <xf numFmtId="176" fontId="28" fillId="0" borderId="17" xfId="2" applyNumberFormat="1" applyFont="1" applyFill="1" applyBorder="1" applyAlignment="1">
      <alignment horizontal="center" vertical="center" shrinkToFit="1"/>
    </xf>
    <xf numFmtId="176" fontId="28" fillId="0" borderId="67" xfId="2" applyNumberFormat="1" applyFont="1" applyFill="1" applyBorder="1" applyAlignment="1">
      <alignment horizontal="center" vertical="center" shrinkToFit="1"/>
    </xf>
    <xf numFmtId="176" fontId="28" fillId="0" borderId="26" xfId="2" applyNumberFormat="1" applyFont="1" applyFill="1" applyBorder="1" applyAlignment="1">
      <alignment horizontal="center" vertical="center" shrinkToFit="1"/>
    </xf>
    <xf numFmtId="176" fontId="28" fillId="0" borderId="37" xfId="2" applyNumberFormat="1" applyFont="1" applyFill="1" applyBorder="1" applyAlignment="1">
      <alignment horizontal="center" vertical="center" shrinkToFit="1"/>
    </xf>
    <xf numFmtId="176" fontId="28" fillId="0" borderId="36" xfId="2" applyNumberFormat="1" applyFont="1" applyFill="1" applyBorder="1" applyAlignment="1">
      <alignment horizontal="center" vertical="center" shrinkToFit="1"/>
    </xf>
    <xf numFmtId="176" fontId="28" fillId="0" borderId="70" xfId="2" applyNumberFormat="1" applyFont="1" applyFill="1" applyBorder="1" applyAlignment="1">
      <alignment horizontal="center" vertical="center" shrinkToFit="1"/>
    </xf>
    <xf numFmtId="176" fontId="28" fillId="0" borderId="38" xfId="2" applyNumberFormat="1" applyFont="1" applyFill="1" applyBorder="1" applyAlignment="1">
      <alignment horizontal="center" vertical="center" shrinkToFit="1"/>
    </xf>
    <xf numFmtId="176" fontId="28" fillId="0" borderId="35" xfId="2" applyNumberFormat="1" applyFont="1" applyFill="1" applyBorder="1" applyAlignment="1">
      <alignment horizontal="center" vertical="center" shrinkToFit="1"/>
    </xf>
    <xf numFmtId="0" fontId="16" fillId="0" borderId="50" xfId="2" applyFont="1" applyFill="1" applyBorder="1"/>
    <xf numFmtId="0" fontId="16" fillId="0" borderId="67" xfId="2" applyFont="1" applyFill="1" applyBorder="1"/>
    <xf numFmtId="0" fontId="16" fillId="0" borderId="51" xfId="2" applyFont="1" applyFill="1" applyBorder="1"/>
    <xf numFmtId="0" fontId="16" fillId="0" borderId="59" xfId="2" applyFont="1" applyFill="1" applyBorder="1"/>
    <xf numFmtId="0" fontId="16" fillId="0" borderId="54" xfId="2" applyFont="1" applyFill="1" applyBorder="1"/>
    <xf numFmtId="176" fontId="28" fillId="0" borderId="51" xfId="2" applyNumberFormat="1" applyFont="1" applyFill="1" applyBorder="1" applyAlignment="1">
      <alignment horizontal="center" vertical="center" shrinkToFit="1"/>
    </xf>
    <xf numFmtId="0" fontId="16" fillId="0" borderId="145" xfId="2" applyFont="1" applyFill="1" applyBorder="1"/>
    <xf numFmtId="0" fontId="16" fillId="0" borderId="28" xfId="2" applyFont="1" applyFill="1" applyBorder="1"/>
    <xf numFmtId="0" fontId="16" fillId="0" borderId="29" xfId="2" applyFont="1" applyFill="1" applyBorder="1"/>
    <xf numFmtId="0" fontId="16" fillId="0" borderId="32" xfId="2" applyFont="1" applyFill="1" applyBorder="1"/>
    <xf numFmtId="0" fontId="16" fillId="0" borderId="26" xfId="2" applyFont="1" applyFill="1" applyBorder="1"/>
    <xf numFmtId="176" fontId="27" fillId="2" borderId="113" xfId="2" applyNumberFormat="1" applyFont="1" applyFill="1" applyBorder="1" applyAlignment="1">
      <alignment horizontal="center" vertical="center" shrinkToFit="1"/>
    </xf>
    <xf numFmtId="176" fontId="23" fillId="4" borderId="113" xfId="2" applyNumberFormat="1" applyFont="1" applyFill="1" applyBorder="1" applyAlignment="1">
      <alignment horizontal="center" vertical="center" shrinkToFit="1"/>
    </xf>
    <xf numFmtId="0" fontId="23" fillId="0" borderId="18" xfId="2" applyFont="1" applyFill="1" applyBorder="1" applyAlignment="1">
      <alignment horizontal="center" vertical="center"/>
    </xf>
    <xf numFmtId="0" fontId="20" fillId="0" borderId="0" xfId="0" applyFont="1" applyFill="1" applyAlignment="1">
      <alignment vertical="center"/>
    </xf>
    <xf numFmtId="0" fontId="23" fillId="0" borderId="168" xfId="2" applyFont="1" applyFill="1" applyBorder="1" applyAlignment="1">
      <alignment horizontal="center" vertical="top" textRotation="255" wrapText="1"/>
    </xf>
    <xf numFmtId="176" fontId="13" fillId="0" borderId="169" xfId="2" applyNumberFormat="1" applyFont="1" applyFill="1" applyBorder="1" applyAlignment="1">
      <alignment horizontal="center" vertical="center" shrinkToFit="1"/>
    </xf>
    <xf numFmtId="176" fontId="23" fillId="0" borderId="170" xfId="2" applyNumberFormat="1" applyFont="1" applyFill="1" applyBorder="1" applyAlignment="1">
      <alignment horizontal="center" vertical="center" shrinkToFit="1"/>
    </xf>
    <xf numFmtId="176" fontId="28" fillId="0" borderId="171" xfId="2" applyNumberFormat="1" applyFont="1" applyFill="1" applyBorder="1" applyAlignment="1">
      <alignment horizontal="center" vertical="center" shrinkToFit="1"/>
    </xf>
    <xf numFmtId="176" fontId="28" fillId="0" borderId="172" xfId="2" applyNumberFormat="1" applyFont="1" applyFill="1" applyBorder="1" applyAlignment="1">
      <alignment horizontal="center" vertical="center" shrinkToFit="1"/>
    </xf>
    <xf numFmtId="176" fontId="13" fillId="0" borderId="173" xfId="2" applyNumberFormat="1" applyFont="1" applyFill="1" applyBorder="1" applyAlignment="1">
      <alignment horizontal="center" vertical="center" shrinkToFit="1"/>
    </xf>
    <xf numFmtId="176" fontId="23" fillId="0" borderId="43" xfId="2" applyNumberFormat="1" applyFont="1" applyFill="1" applyBorder="1" applyAlignment="1">
      <alignment horizontal="center" vertical="center" shrinkToFit="1"/>
    </xf>
    <xf numFmtId="176" fontId="23" fillId="0" borderId="46" xfId="2" applyNumberFormat="1" applyFont="1" applyFill="1" applyBorder="1" applyAlignment="1">
      <alignment horizontal="center" vertical="center" shrinkToFit="1"/>
    </xf>
    <xf numFmtId="176" fontId="23" fillId="0" borderId="47" xfId="2" applyNumberFormat="1" applyFont="1" applyFill="1" applyBorder="1" applyAlignment="1">
      <alignment horizontal="center" vertical="center" shrinkToFit="1"/>
    </xf>
    <xf numFmtId="176" fontId="23" fillId="0" borderId="71" xfId="2" applyNumberFormat="1" applyFont="1" applyFill="1" applyBorder="1" applyAlignment="1">
      <alignment horizontal="center" vertical="center" shrinkToFit="1"/>
    </xf>
    <xf numFmtId="176" fontId="23" fillId="0" borderId="174" xfId="2" applyNumberFormat="1" applyFont="1" applyFill="1" applyBorder="1" applyAlignment="1">
      <alignment horizontal="center" vertical="center" shrinkToFit="1"/>
    </xf>
    <xf numFmtId="0" fontId="33" fillId="2" borderId="4" xfId="0" applyNumberFormat="1" applyFont="1" applyFill="1" applyBorder="1" applyAlignment="1">
      <alignment horizontal="center" vertical="top" wrapText="1"/>
    </xf>
    <xf numFmtId="176" fontId="33" fillId="2" borderId="29" xfId="0" applyNumberFormat="1" applyFont="1" applyFill="1" applyBorder="1" applyAlignment="1">
      <alignment vertical="center" shrinkToFit="1"/>
    </xf>
    <xf numFmtId="41" fontId="33" fillId="2" borderId="23" xfId="1" applyFont="1" applyFill="1" applyBorder="1" applyAlignment="1">
      <alignment vertical="center" shrinkToFit="1"/>
    </xf>
    <xf numFmtId="176" fontId="33" fillId="2" borderId="31" xfId="0" applyNumberFormat="1" applyFont="1" applyFill="1" applyBorder="1" applyAlignment="1">
      <alignment vertical="center" shrinkToFit="1"/>
    </xf>
    <xf numFmtId="176" fontId="33" fillId="2" borderId="32" xfId="0" applyNumberFormat="1" applyFont="1" applyFill="1" applyBorder="1" applyAlignment="1">
      <alignment vertical="center" shrinkToFit="1"/>
    </xf>
    <xf numFmtId="176" fontId="35" fillId="3" borderId="113" xfId="2" applyNumberFormat="1" applyFont="1" applyFill="1" applyBorder="1" applyAlignment="1">
      <alignment horizontal="center" vertical="center" shrinkToFit="1"/>
    </xf>
    <xf numFmtId="176" fontId="36" fillId="2" borderId="113" xfId="2" applyNumberFormat="1" applyFont="1" applyFill="1" applyBorder="1" applyAlignment="1">
      <alignment horizontal="center" vertical="center" shrinkToFit="1"/>
    </xf>
    <xf numFmtId="0" fontId="20" fillId="0" borderId="0" xfId="0" applyFont="1" applyFill="1" applyAlignment="1">
      <alignment vertical="center" wrapText="1"/>
    </xf>
    <xf numFmtId="0" fontId="23" fillId="0" borderId="18" xfId="2" applyFont="1" applyFill="1" applyBorder="1" applyAlignment="1">
      <alignment horizontal="center" vertical="center"/>
    </xf>
    <xf numFmtId="0" fontId="23" fillId="0" borderId="2" xfId="2" applyFont="1" applyFill="1" applyBorder="1" applyAlignment="1">
      <alignment horizontal="center" vertical="center"/>
    </xf>
    <xf numFmtId="41" fontId="37" fillId="3" borderId="23" xfId="1" applyFont="1" applyFill="1" applyBorder="1" applyAlignment="1">
      <alignment vertical="center" shrinkToFit="1"/>
    </xf>
    <xf numFmtId="41" fontId="33" fillId="2" borderId="48" xfId="1" applyFont="1" applyFill="1" applyBorder="1" applyAlignment="1">
      <alignment vertical="center" shrinkToFit="1"/>
    </xf>
    <xf numFmtId="176" fontId="37" fillId="3" borderId="32" xfId="0" applyNumberFormat="1" applyFont="1" applyFill="1" applyBorder="1" applyAlignment="1">
      <alignment vertical="center" shrinkToFit="1"/>
    </xf>
    <xf numFmtId="176" fontId="37" fillId="3" borderId="28" xfId="0" applyNumberFormat="1" applyFont="1" applyFill="1" applyBorder="1" applyAlignment="1">
      <alignment vertical="center" shrinkToFit="1"/>
    </xf>
    <xf numFmtId="176" fontId="33" fillId="2" borderId="28" xfId="0" applyNumberFormat="1" applyFont="1" applyFill="1" applyBorder="1" applyAlignment="1">
      <alignment vertical="center" shrinkToFit="1"/>
    </xf>
    <xf numFmtId="0" fontId="4" fillId="0" borderId="115" xfId="0" applyFont="1" applyFill="1" applyBorder="1" applyAlignment="1">
      <alignment horizontal="left" vertical="top" wrapText="1"/>
    </xf>
    <xf numFmtId="176" fontId="33" fillId="2" borderId="48" xfId="0" applyNumberFormat="1" applyFont="1" applyFill="1" applyBorder="1" applyAlignment="1">
      <alignment vertical="center" shrinkToFit="1"/>
    </xf>
    <xf numFmtId="0" fontId="13" fillId="0" borderId="168" xfId="2" applyFont="1" applyFill="1" applyBorder="1" applyAlignment="1">
      <alignment horizontal="center" vertical="top" textRotation="255" wrapText="1"/>
    </xf>
    <xf numFmtId="176" fontId="13" fillId="0" borderId="175" xfId="2" applyNumberFormat="1" applyFont="1" applyFill="1" applyBorder="1" applyAlignment="1">
      <alignment horizontal="center" vertical="center" shrinkToFit="1"/>
    </xf>
    <xf numFmtId="176" fontId="23" fillId="0" borderId="171" xfId="2" applyNumberFormat="1" applyFont="1" applyFill="1" applyBorder="1" applyAlignment="1">
      <alignment horizontal="center" vertical="center" shrinkToFit="1"/>
    </xf>
    <xf numFmtId="176" fontId="23" fillId="0" borderId="176" xfId="2" applyNumberFormat="1" applyFont="1" applyFill="1" applyBorder="1" applyAlignment="1">
      <alignment horizontal="center" vertical="center" shrinkToFit="1"/>
    </xf>
    <xf numFmtId="176" fontId="23" fillId="0" borderId="48" xfId="2" applyNumberFormat="1" applyFont="1" applyFill="1" applyBorder="1" applyAlignment="1">
      <alignment horizontal="center" vertical="center" shrinkToFit="1"/>
    </xf>
    <xf numFmtId="176" fontId="23" fillId="0" borderId="124" xfId="2" applyNumberFormat="1" applyFont="1" applyFill="1" applyBorder="1" applyAlignment="1">
      <alignment horizontal="center" vertical="center" shrinkToFit="1"/>
    </xf>
    <xf numFmtId="176" fontId="23" fillId="2" borderId="28" xfId="2" applyNumberFormat="1" applyFont="1" applyFill="1" applyBorder="1" applyAlignment="1">
      <alignment horizontal="center" vertical="center" shrinkToFit="1"/>
    </xf>
    <xf numFmtId="176" fontId="13" fillId="3" borderId="113" xfId="2" applyNumberFormat="1" applyFont="1" applyFill="1" applyBorder="1" applyAlignment="1">
      <alignment horizontal="center" vertical="center" shrinkToFit="1"/>
    </xf>
    <xf numFmtId="176" fontId="13" fillId="3" borderId="28" xfId="2" applyNumberFormat="1" applyFont="1" applyFill="1" applyBorder="1" applyAlignment="1">
      <alignment horizontal="center" vertical="center" shrinkToFit="1"/>
    </xf>
    <xf numFmtId="176" fontId="13" fillId="2" borderId="28" xfId="2" applyNumberFormat="1" applyFont="1" applyFill="1" applyBorder="1" applyAlignment="1">
      <alignment horizontal="center" vertical="center" shrinkToFit="1"/>
    </xf>
    <xf numFmtId="176" fontId="13" fillId="2" borderId="37" xfId="2" applyNumberFormat="1" applyFont="1" applyFill="1" applyBorder="1" applyAlignment="1">
      <alignment horizontal="center" vertical="center" shrinkToFit="1"/>
    </xf>
    <xf numFmtId="176" fontId="13" fillId="3" borderId="19" xfId="2" applyNumberFormat="1" applyFont="1" applyFill="1" applyBorder="1" applyAlignment="1">
      <alignment horizontal="center" vertical="center" shrinkToFit="1"/>
    </xf>
    <xf numFmtId="176" fontId="13" fillId="2" borderId="113" xfId="2" applyNumberFormat="1" applyFont="1" applyFill="1" applyBorder="1" applyAlignment="1">
      <alignment horizontal="center" vertical="center" shrinkToFit="1"/>
    </xf>
    <xf numFmtId="176" fontId="13" fillId="2" borderId="19" xfId="2" applyNumberFormat="1" applyFont="1" applyFill="1" applyBorder="1" applyAlignment="1">
      <alignment horizontal="center" vertical="center" shrinkToFit="1"/>
    </xf>
    <xf numFmtId="41" fontId="4" fillId="3" borderId="73" xfId="1" applyFont="1" applyFill="1" applyBorder="1" applyAlignment="1">
      <alignment vertical="center" shrinkToFit="1"/>
    </xf>
    <xf numFmtId="176" fontId="4" fillId="2" borderId="20" xfId="0" applyNumberFormat="1" applyFont="1" applyFill="1" applyBorder="1" applyAlignment="1">
      <alignment vertical="center" shrinkToFit="1"/>
    </xf>
    <xf numFmtId="176" fontId="4" fillId="3" borderId="24" xfId="0" applyNumberFormat="1" applyFont="1" applyFill="1" applyBorder="1" applyAlignment="1">
      <alignment vertical="center" shrinkToFit="1"/>
    </xf>
    <xf numFmtId="41" fontId="4" fillId="2" borderId="20" xfId="1" applyFont="1" applyFill="1" applyBorder="1" applyAlignment="1">
      <alignment vertical="center" shrinkToFit="1"/>
    </xf>
    <xf numFmtId="176" fontId="4" fillId="3" borderId="29" xfId="0" applyNumberFormat="1" applyFont="1" applyFill="1" applyBorder="1" applyAlignment="1">
      <alignment vertical="center" shrinkToFit="1"/>
    </xf>
    <xf numFmtId="0" fontId="20" fillId="0" borderId="108" xfId="0" applyFont="1" applyFill="1" applyBorder="1" applyAlignment="1">
      <alignment vertical="center" wrapText="1"/>
    </xf>
    <xf numFmtId="0" fontId="20" fillId="0" borderId="0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54" xfId="0" applyFont="1" applyFill="1" applyBorder="1" applyAlignment="1">
      <alignment horizontal="center" vertical="center"/>
    </xf>
    <xf numFmtId="0" fontId="4" fillId="0" borderId="55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/>
    </xf>
    <xf numFmtId="0" fontId="4" fillId="0" borderId="128" xfId="0" applyFont="1" applyFill="1" applyBorder="1" applyAlignment="1">
      <alignment horizontal="center" vertical="top" wrapText="1"/>
    </xf>
    <xf numFmtId="0" fontId="4" fillId="0" borderId="129" xfId="0" applyFont="1" applyFill="1" applyBorder="1" applyAlignment="1">
      <alignment horizontal="center" vertical="top" wrapText="1"/>
    </xf>
    <xf numFmtId="0" fontId="4" fillId="0" borderId="130" xfId="0" applyFont="1" applyFill="1" applyBorder="1" applyAlignment="1">
      <alignment horizontal="center" vertical="top" wrapText="1"/>
    </xf>
    <xf numFmtId="0" fontId="4" fillId="0" borderId="136" xfId="0" applyFont="1" applyFill="1" applyBorder="1" applyAlignment="1">
      <alignment horizontal="center" vertical="center" wrapText="1"/>
    </xf>
    <xf numFmtId="0" fontId="4" fillId="0" borderId="137" xfId="0" applyFont="1" applyFill="1" applyBorder="1" applyAlignment="1">
      <alignment horizontal="center" vertical="center" wrapText="1"/>
    </xf>
    <xf numFmtId="0" fontId="4" fillId="0" borderId="138" xfId="0" applyFont="1" applyFill="1" applyBorder="1" applyAlignment="1">
      <alignment horizontal="center" vertical="center" wrapText="1"/>
    </xf>
    <xf numFmtId="0" fontId="4" fillId="0" borderId="52" xfId="0" applyFont="1" applyFill="1" applyBorder="1" applyAlignment="1">
      <alignment horizontal="center" vertical="center"/>
    </xf>
    <xf numFmtId="0" fontId="4" fillId="0" borderId="53" xfId="0" applyFont="1" applyFill="1" applyBorder="1" applyAlignment="1">
      <alignment horizontal="center" vertical="center"/>
    </xf>
    <xf numFmtId="0" fontId="4" fillId="0" borderId="76" xfId="0" applyFont="1" applyFill="1" applyBorder="1" applyAlignment="1">
      <alignment horizontal="center" vertical="center"/>
    </xf>
    <xf numFmtId="0" fontId="4" fillId="0" borderId="135" xfId="0" applyFont="1" applyFill="1" applyBorder="1" applyAlignment="1">
      <alignment horizontal="center" vertical="top" wrapText="1"/>
    </xf>
    <xf numFmtId="0" fontId="4" fillId="0" borderId="126" xfId="0" applyFont="1" applyFill="1" applyBorder="1" applyAlignment="1">
      <alignment horizontal="center" vertical="top" wrapText="1"/>
    </xf>
    <xf numFmtId="0" fontId="4" fillId="0" borderId="131" xfId="0" applyFont="1" applyFill="1" applyBorder="1" applyAlignment="1">
      <alignment horizontal="center" vertical="top" wrapText="1"/>
    </xf>
    <xf numFmtId="0" fontId="4" fillId="0" borderId="56" xfId="0" applyFont="1" applyFill="1" applyBorder="1" applyAlignment="1">
      <alignment horizontal="center" vertical="top" wrapText="1"/>
    </xf>
    <xf numFmtId="0" fontId="4" fillId="0" borderId="111" xfId="0" applyFont="1" applyFill="1" applyBorder="1" applyAlignment="1">
      <alignment horizontal="center" vertical="top" wrapText="1"/>
    </xf>
    <xf numFmtId="0" fontId="4" fillId="0" borderId="57" xfId="0" applyFont="1" applyFill="1" applyBorder="1" applyAlignment="1">
      <alignment horizontal="center" vertical="top" wrapText="1"/>
    </xf>
    <xf numFmtId="0" fontId="4" fillId="0" borderId="56" xfId="0" applyFont="1" applyFill="1" applyBorder="1" applyAlignment="1">
      <alignment horizontal="center" vertical="center" wrapText="1"/>
    </xf>
    <xf numFmtId="0" fontId="4" fillId="0" borderId="111" xfId="0" applyFont="1" applyFill="1" applyBorder="1" applyAlignment="1">
      <alignment horizontal="center" vertical="center" wrapText="1"/>
    </xf>
    <xf numFmtId="0" fontId="4" fillId="0" borderId="57" xfId="0" applyFont="1" applyFill="1" applyBorder="1" applyAlignment="1">
      <alignment horizontal="center" vertical="center" wrapText="1"/>
    </xf>
    <xf numFmtId="0" fontId="14" fillId="0" borderId="50" xfId="0" applyFont="1" applyFill="1" applyBorder="1" applyAlignment="1">
      <alignment horizontal="center" vertical="center" wrapText="1"/>
    </xf>
    <xf numFmtId="0" fontId="14" fillId="0" borderId="5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54" xfId="0" applyFont="1" applyFill="1" applyBorder="1" applyAlignment="1">
      <alignment horizontal="center" vertical="center" wrapText="1"/>
    </xf>
    <xf numFmtId="0" fontId="4" fillId="0" borderId="55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center" vertical="top" wrapText="1"/>
    </xf>
    <xf numFmtId="0" fontId="4" fillId="0" borderId="58" xfId="0" applyFont="1" applyFill="1" applyBorder="1" applyAlignment="1">
      <alignment horizontal="center" vertical="top" wrapText="1"/>
    </xf>
    <xf numFmtId="0" fontId="4" fillId="0" borderId="60" xfId="0" applyFont="1" applyFill="1" applyBorder="1" applyAlignment="1">
      <alignment horizontal="center" vertical="center"/>
    </xf>
    <xf numFmtId="0" fontId="4" fillId="0" borderId="59" xfId="0" applyFont="1" applyFill="1" applyBorder="1" applyAlignment="1">
      <alignment horizontal="center" vertical="center"/>
    </xf>
    <xf numFmtId="0" fontId="4" fillId="0" borderId="50" xfId="0" applyFont="1" applyFill="1" applyBorder="1" applyAlignment="1">
      <alignment horizontal="center" vertical="center"/>
    </xf>
    <xf numFmtId="0" fontId="4" fillId="0" borderId="67" xfId="0" applyFont="1" applyFill="1" applyBorder="1" applyAlignment="1">
      <alignment horizontal="center" vertical="center"/>
    </xf>
    <xf numFmtId="0" fontId="4" fillId="0" borderId="51" xfId="0" applyFont="1" applyFill="1" applyBorder="1" applyAlignment="1">
      <alignment horizontal="center" vertical="center"/>
    </xf>
    <xf numFmtId="0" fontId="4" fillId="0" borderId="37" xfId="0" applyFont="1" applyFill="1" applyBorder="1" applyAlignment="1">
      <alignment horizontal="center" vertical="top" textRotation="255" wrapText="1"/>
    </xf>
    <xf numFmtId="0" fontId="4" fillId="0" borderId="58" xfId="0" applyFont="1" applyFill="1" applyBorder="1" applyAlignment="1">
      <alignment horizontal="center" vertical="top" textRotation="255" wrapText="1"/>
    </xf>
    <xf numFmtId="0" fontId="4" fillId="0" borderId="36" xfId="0" applyFont="1" applyFill="1" applyBorder="1" applyAlignment="1">
      <alignment horizontal="center" vertical="top" wrapText="1"/>
    </xf>
    <xf numFmtId="0" fontId="4" fillId="0" borderId="61" xfId="0" applyFont="1" applyFill="1" applyBorder="1" applyAlignment="1">
      <alignment horizontal="center" vertical="top" wrapText="1"/>
    </xf>
    <xf numFmtId="0" fontId="4" fillId="0" borderId="37" xfId="0" applyFont="1" applyFill="1" applyBorder="1" applyAlignment="1">
      <alignment vertical="top" textRotation="255" wrapText="1"/>
    </xf>
    <xf numFmtId="0" fontId="4" fillId="0" borderId="58" xfId="0" applyFont="1" applyFill="1" applyBorder="1" applyAlignment="1">
      <alignment vertical="top" textRotation="255" wrapText="1"/>
    </xf>
    <xf numFmtId="0" fontId="4" fillId="0" borderId="38" xfId="0" applyFont="1" applyFill="1" applyBorder="1" applyAlignment="1">
      <alignment horizontal="center" vertical="top" textRotation="255" wrapText="1"/>
    </xf>
    <xf numFmtId="0" fontId="4" fillId="0" borderId="133" xfId="0" applyFont="1" applyFill="1" applyBorder="1" applyAlignment="1">
      <alignment horizontal="center" vertical="top" textRotation="255" wrapText="1"/>
    </xf>
    <xf numFmtId="0" fontId="4" fillId="0" borderId="132" xfId="0" applyFont="1" applyFill="1" applyBorder="1" applyAlignment="1">
      <alignment horizontal="center" vertical="top" textRotation="255" wrapText="1"/>
    </xf>
    <xf numFmtId="0" fontId="4" fillId="0" borderId="138" xfId="0" applyFont="1" applyFill="1" applyBorder="1" applyAlignment="1">
      <alignment horizontal="center" vertical="top" textRotation="255" wrapText="1"/>
    </xf>
    <xf numFmtId="0" fontId="19" fillId="0" borderId="0" xfId="0" applyFont="1" applyFill="1" applyBorder="1" applyAlignment="1">
      <alignment horizontal="center" vertical="top" wrapText="1"/>
    </xf>
    <xf numFmtId="0" fontId="4" fillId="0" borderId="40" xfId="0" applyFont="1" applyFill="1" applyBorder="1" applyAlignment="1">
      <alignment horizontal="center" vertical="top" textRotation="255" wrapText="1"/>
    </xf>
    <xf numFmtId="0" fontId="4" fillId="0" borderId="49" xfId="0" applyFont="1" applyFill="1" applyBorder="1" applyAlignment="1">
      <alignment horizontal="center" vertical="top" textRotation="255" wrapText="1"/>
    </xf>
    <xf numFmtId="0" fontId="4" fillId="0" borderId="36" xfId="0" applyFont="1" applyFill="1" applyBorder="1" applyAlignment="1">
      <alignment horizontal="center" vertical="top" textRotation="255" wrapText="1"/>
    </xf>
    <xf numFmtId="0" fontId="4" fillId="0" borderId="61" xfId="0" applyFont="1" applyFill="1" applyBorder="1" applyAlignment="1">
      <alignment horizontal="center" vertical="top" textRotation="255" wrapText="1"/>
    </xf>
    <xf numFmtId="0" fontId="4" fillId="0" borderId="139" xfId="0" applyFont="1" applyFill="1" applyBorder="1" applyAlignment="1">
      <alignment horizontal="center" vertical="center" wrapText="1"/>
    </xf>
    <xf numFmtId="0" fontId="4" fillId="0" borderId="37" xfId="0" applyFont="1" applyFill="1" applyBorder="1" applyAlignment="1">
      <alignment horizontal="left" vertical="top" wrapText="1"/>
    </xf>
    <xf numFmtId="0" fontId="4" fillId="0" borderId="58" xfId="0" applyFont="1" applyFill="1" applyBorder="1" applyAlignment="1">
      <alignment horizontal="left" vertical="top" wrapText="1"/>
    </xf>
    <xf numFmtId="0" fontId="4" fillId="0" borderId="38" xfId="0" applyFont="1" applyFill="1" applyBorder="1" applyAlignment="1">
      <alignment horizontal="center" vertical="top" wrapText="1"/>
    </xf>
    <xf numFmtId="0" fontId="4" fillId="0" borderId="133" xfId="0" applyFont="1" applyFill="1" applyBorder="1" applyAlignment="1">
      <alignment horizontal="center" vertical="top" wrapText="1"/>
    </xf>
    <xf numFmtId="0" fontId="4" fillId="0" borderId="65" xfId="0" applyFont="1" applyFill="1" applyBorder="1" applyAlignment="1">
      <alignment horizontal="center" vertical="top" textRotation="255" wrapText="1"/>
    </xf>
    <xf numFmtId="0" fontId="4" fillId="0" borderId="140" xfId="0" applyFont="1" applyFill="1" applyBorder="1" applyAlignment="1">
      <alignment horizontal="center" vertical="top" textRotation="255" wrapText="1"/>
    </xf>
    <xf numFmtId="0" fontId="4" fillId="0" borderId="36" xfId="0" applyFont="1" applyFill="1" applyBorder="1" applyAlignment="1">
      <alignment horizontal="center" vertical="top" textRotation="255"/>
    </xf>
    <xf numFmtId="0" fontId="4" fillId="0" borderId="61" xfId="0" applyFont="1" applyFill="1" applyBorder="1" applyAlignment="1">
      <alignment horizontal="center" vertical="top" textRotation="255"/>
    </xf>
    <xf numFmtId="0" fontId="23" fillId="0" borderId="18" xfId="2" applyFont="1" applyFill="1" applyBorder="1" applyAlignment="1">
      <alignment horizontal="center" vertical="center"/>
    </xf>
    <xf numFmtId="0" fontId="23" fillId="0" borderId="19" xfId="2" applyFont="1" applyFill="1" applyBorder="1" applyAlignment="1">
      <alignment horizontal="center" vertical="center"/>
    </xf>
    <xf numFmtId="0" fontId="23" fillId="0" borderId="20" xfId="2" applyFont="1" applyFill="1" applyBorder="1" applyAlignment="1">
      <alignment horizontal="center" vertical="center"/>
    </xf>
    <xf numFmtId="0" fontId="23" fillId="0" borderId="2" xfId="2" applyFont="1" applyFill="1" applyBorder="1" applyAlignment="1">
      <alignment horizontal="center" vertical="center" wrapText="1"/>
    </xf>
    <xf numFmtId="0" fontId="10" fillId="0" borderId="54" xfId="2" applyFont="1" applyFill="1" applyBorder="1"/>
    <xf numFmtId="0" fontId="10" fillId="0" borderId="55" xfId="2" applyFont="1" applyFill="1" applyBorder="1"/>
    <xf numFmtId="0" fontId="13" fillId="0" borderId="53" xfId="2" applyFont="1" applyFill="1" applyBorder="1" applyAlignment="1">
      <alignment horizontal="center" vertical="center"/>
    </xf>
    <xf numFmtId="0" fontId="13" fillId="0" borderId="166" xfId="2" applyFont="1" applyFill="1" applyBorder="1" applyAlignment="1">
      <alignment horizontal="center" vertical="center"/>
    </xf>
    <xf numFmtId="0" fontId="8" fillId="0" borderId="0" xfId="2" applyFont="1" applyFill="1" applyAlignment="1">
      <alignment horizontal="center" vertical="center"/>
    </xf>
    <xf numFmtId="0" fontId="23" fillId="0" borderId="82" xfId="2" applyFont="1" applyFill="1" applyBorder="1" applyAlignment="1">
      <alignment vertical="top" wrapText="1"/>
    </xf>
    <xf numFmtId="0" fontId="23" fillId="0" borderId="86" xfId="2" applyFont="1" applyFill="1" applyBorder="1" applyAlignment="1">
      <alignment vertical="top"/>
    </xf>
    <xf numFmtId="0" fontId="23" fillId="0" borderId="89" xfId="2" applyFont="1" applyFill="1" applyBorder="1" applyAlignment="1">
      <alignment vertical="top"/>
    </xf>
    <xf numFmtId="0" fontId="23" fillId="0" borderId="83" xfId="2" applyFont="1" applyFill="1" applyBorder="1" applyAlignment="1">
      <alignment horizontal="center" vertical="center" wrapText="1"/>
    </xf>
    <xf numFmtId="0" fontId="23" fillId="0" borderId="87" xfId="2" applyFont="1" applyFill="1" applyBorder="1" applyAlignment="1">
      <alignment horizontal="center" vertical="center" wrapText="1"/>
    </xf>
    <xf numFmtId="0" fontId="23" fillId="0" borderId="90" xfId="2" applyFont="1" applyFill="1" applyBorder="1" applyAlignment="1">
      <alignment horizontal="center" vertical="center" wrapText="1"/>
    </xf>
    <xf numFmtId="0" fontId="23" fillId="0" borderId="84" xfId="2" applyFont="1" applyFill="1" applyBorder="1" applyAlignment="1">
      <alignment horizontal="center" vertical="center"/>
    </xf>
    <xf numFmtId="0" fontId="23" fillId="0" borderId="85" xfId="2" applyFont="1" applyFill="1" applyBorder="1" applyAlignment="1">
      <alignment horizontal="center" vertical="center"/>
    </xf>
    <xf numFmtId="0" fontId="23" fillId="0" borderId="146" xfId="2" applyFont="1" applyFill="1" applyBorder="1" applyAlignment="1">
      <alignment horizontal="center" vertical="center"/>
    </xf>
    <xf numFmtId="0" fontId="23" fillId="0" borderId="88" xfId="2" applyFont="1" applyFill="1" applyBorder="1" applyAlignment="1">
      <alignment horizontal="center" vertical="center" wrapText="1"/>
    </xf>
    <xf numFmtId="0" fontId="23" fillId="0" borderId="91" xfId="2" applyFont="1" applyFill="1" applyBorder="1" applyAlignment="1">
      <alignment horizontal="center" vertical="center"/>
    </xf>
    <xf numFmtId="0" fontId="23" fillId="0" borderId="23" xfId="2" applyFont="1" applyFill="1" applyBorder="1" applyAlignment="1">
      <alignment horizontal="center" vertical="center" wrapText="1"/>
    </xf>
    <xf numFmtId="0" fontId="23" fillId="0" borderId="19" xfId="2" applyFont="1" applyFill="1" applyBorder="1" applyAlignment="1">
      <alignment horizontal="center" vertical="center" wrapText="1"/>
    </xf>
    <xf numFmtId="0" fontId="23" fillId="0" borderId="20" xfId="2" applyFont="1" applyFill="1" applyBorder="1" applyAlignment="1">
      <alignment horizontal="center" vertical="center" wrapText="1"/>
    </xf>
    <xf numFmtId="0" fontId="23" fillId="0" borderId="68" xfId="2" applyFont="1" applyFill="1" applyBorder="1" applyAlignment="1">
      <alignment horizontal="center" vertical="center" wrapText="1"/>
    </xf>
    <xf numFmtId="0" fontId="23" fillId="0" borderId="60" xfId="2" applyFont="1" applyFill="1" applyBorder="1" applyAlignment="1">
      <alignment horizontal="center" vertical="center" wrapText="1"/>
    </xf>
    <xf numFmtId="0" fontId="23" fillId="0" borderId="50" xfId="2" applyFont="1" applyFill="1" applyBorder="1" applyAlignment="1">
      <alignment horizontal="center" vertical="center" wrapText="1"/>
    </xf>
    <xf numFmtId="0" fontId="23" fillId="0" borderId="51" xfId="2" applyFont="1" applyFill="1" applyBorder="1" applyAlignment="1">
      <alignment horizontal="center" vertical="center" wrapText="1"/>
    </xf>
    <xf numFmtId="0" fontId="23" fillId="0" borderId="23" xfId="2" applyFont="1" applyFill="1" applyBorder="1" applyAlignment="1">
      <alignment horizontal="center" vertical="center"/>
    </xf>
    <xf numFmtId="0" fontId="23" fillId="0" borderId="68" xfId="2" applyFont="1" applyFill="1" applyBorder="1" applyAlignment="1">
      <alignment horizontal="center" vertical="center"/>
    </xf>
    <xf numFmtId="0" fontId="23" fillId="0" borderId="60" xfId="2" applyFont="1" applyFill="1" applyBorder="1" applyAlignment="1">
      <alignment horizontal="center" vertical="center"/>
    </xf>
    <xf numFmtId="0" fontId="23" fillId="0" borderId="50" xfId="2" applyFont="1" applyFill="1" applyBorder="1" applyAlignment="1">
      <alignment horizontal="center" vertical="center"/>
    </xf>
    <xf numFmtId="0" fontId="23" fillId="0" borderId="51" xfId="2" applyFont="1" applyFill="1" applyBorder="1" applyAlignment="1">
      <alignment horizontal="center" vertical="center"/>
    </xf>
    <xf numFmtId="0" fontId="5" fillId="0" borderId="0" xfId="2" applyFont="1" applyFill="1" applyBorder="1" applyAlignment="1">
      <alignment vertical="center" wrapText="1"/>
    </xf>
    <xf numFmtId="0" fontId="20" fillId="0" borderId="0" xfId="0" applyFont="1" applyFill="1" applyAlignment="1">
      <alignment vertical="center"/>
    </xf>
    <xf numFmtId="0" fontId="5" fillId="0" borderId="0" xfId="2" applyFont="1" applyFill="1" applyAlignment="1">
      <alignment vertical="center" wrapText="1"/>
    </xf>
    <xf numFmtId="0" fontId="13" fillId="0" borderId="147" xfId="2" applyFont="1" applyFill="1" applyBorder="1" applyAlignment="1">
      <alignment horizontal="center" vertical="center" wrapText="1" shrinkToFit="1"/>
    </xf>
    <xf numFmtId="0" fontId="13" fillId="0" borderId="167" xfId="2" applyFont="1" applyFill="1" applyBorder="1" applyAlignment="1">
      <alignment horizontal="center" vertical="center" wrapText="1" shrinkToFit="1"/>
    </xf>
    <xf numFmtId="0" fontId="5" fillId="0" borderId="0" xfId="2" applyFont="1" applyFill="1" applyBorder="1" applyAlignment="1">
      <alignment horizontal="left" vertical="center" wrapText="1"/>
    </xf>
    <xf numFmtId="0" fontId="27" fillId="0" borderId="53" xfId="2" applyFont="1" applyFill="1" applyBorder="1" applyAlignment="1">
      <alignment horizontal="center" vertical="center"/>
    </xf>
    <xf numFmtId="0" fontId="27" fillId="0" borderId="166" xfId="2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Alignment="1">
      <alignment horizontal="left" vertical="center" wrapText="1"/>
    </xf>
    <xf numFmtId="0" fontId="23" fillId="0" borderId="54" xfId="2" applyFont="1" applyFill="1" applyBorder="1" applyAlignment="1">
      <alignment horizontal="center" vertical="center" wrapText="1"/>
    </xf>
    <xf numFmtId="0" fontId="23" fillId="0" borderId="55" xfId="2" applyFont="1" applyFill="1" applyBorder="1" applyAlignment="1">
      <alignment horizontal="center" vertical="center" wrapText="1"/>
    </xf>
    <xf numFmtId="0" fontId="8" fillId="0" borderId="0" xfId="2" applyFont="1" applyFill="1" applyAlignment="1">
      <alignment horizontal="center"/>
    </xf>
    <xf numFmtId="0" fontId="13" fillId="0" borderId="82" xfId="2" applyFont="1" applyFill="1" applyBorder="1" applyAlignment="1">
      <alignment vertical="top" wrapText="1"/>
    </xf>
    <xf numFmtId="0" fontId="13" fillId="0" borderId="86" xfId="2" applyFont="1" applyFill="1" applyBorder="1" applyAlignment="1">
      <alignment vertical="top"/>
    </xf>
    <xf numFmtId="0" fontId="13" fillId="0" borderId="89" xfId="2" applyFont="1" applyFill="1" applyBorder="1" applyAlignment="1">
      <alignment vertical="top"/>
    </xf>
    <xf numFmtId="0" fontId="13" fillId="0" borderId="83" xfId="2" applyFont="1" applyFill="1" applyBorder="1" applyAlignment="1">
      <alignment horizontal="center" vertical="center" wrapText="1"/>
    </xf>
    <xf numFmtId="0" fontId="13" fillId="0" borderId="87" xfId="2" applyFont="1" applyFill="1" applyBorder="1" applyAlignment="1">
      <alignment horizontal="center" vertical="center" wrapText="1"/>
    </xf>
    <xf numFmtId="0" fontId="13" fillId="0" borderId="90" xfId="2" applyFont="1" applyFill="1" applyBorder="1" applyAlignment="1">
      <alignment horizontal="center" vertical="center" wrapText="1"/>
    </xf>
    <xf numFmtId="0" fontId="13" fillId="0" borderId="84" xfId="2" applyFont="1" applyFill="1" applyBorder="1" applyAlignment="1">
      <alignment horizontal="center" vertical="center"/>
    </xf>
    <xf numFmtId="0" fontId="13" fillId="0" borderId="85" xfId="2" applyFont="1" applyFill="1" applyBorder="1" applyAlignment="1">
      <alignment horizontal="center" vertical="center"/>
    </xf>
    <xf numFmtId="0" fontId="13" fillId="0" borderId="146" xfId="2" applyFont="1" applyFill="1" applyBorder="1" applyAlignment="1">
      <alignment horizontal="center" vertical="center"/>
    </xf>
    <xf numFmtId="0" fontId="23" fillId="0" borderId="67" xfId="2" applyFont="1" applyFill="1" applyBorder="1" applyAlignment="1">
      <alignment horizontal="center" vertical="center"/>
    </xf>
    <xf numFmtId="0" fontId="23" fillId="0" borderId="2" xfId="2" applyFont="1" applyFill="1" applyBorder="1" applyAlignment="1">
      <alignment horizontal="center" vertical="center"/>
    </xf>
    <xf numFmtId="0" fontId="23" fillId="0" borderId="54" xfId="2" applyFont="1" applyFill="1" applyBorder="1" applyAlignment="1">
      <alignment horizontal="center" vertical="center"/>
    </xf>
    <xf numFmtId="0" fontId="5" fillId="0" borderId="108" xfId="2" applyFont="1" applyFill="1" applyBorder="1" applyAlignment="1">
      <alignment vertical="center" wrapText="1"/>
    </xf>
    <xf numFmtId="0" fontId="13" fillId="0" borderId="148" xfId="2" applyFont="1" applyFill="1" applyBorder="1" applyAlignment="1">
      <alignment horizontal="center" vertical="center" wrapText="1" shrinkToFit="1"/>
    </xf>
    <xf numFmtId="0" fontId="20" fillId="0" borderId="108" xfId="0" applyFont="1" applyFill="1" applyBorder="1" applyAlignment="1">
      <alignment horizontal="left" vertical="center" wrapText="1"/>
    </xf>
  </cellXfs>
  <cellStyles count="3">
    <cellStyle name="쉼표 [0]" xfId="1" builtinId="6"/>
    <cellStyle name="표준" xfId="0" builtinId="0"/>
    <cellStyle name="표준 2" xfId="2"/>
  </cellStyles>
  <dxfs count="0"/>
  <tableStyles count="0" defaultTableStyle="TableStyleMedium9" defaultPivotStyle="PivotStyleLight16"/>
  <colors>
    <mruColors>
      <color rgb="FFCCECFF"/>
      <color rgb="FFFFCC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BH21"/>
  <sheetViews>
    <sheetView tabSelected="1" view="pageBreakPreview" zoomScale="70" zoomScaleNormal="85" zoomScaleSheetLayoutView="70" workbookViewId="0">
      <selection activeCell="A2" sqref="A2"/>
    </sheetView>
  </sheetViews>
  <sheetFormatPr defaultColWidth="8.88671875" defaultRowHeight="4.5" customHeight="1" x14ac:dyDescent="0.15"/>
  <cols>
    <col min="1" max="1" width="18.5546875" style="2" bestFit="1" customWidth="1"/>
    <col min="2" max="2" width="6" style="1" customWidth="1"/>
    <col min="3" max="4" width="4.44140625" style="2" customWidth="1"/>
    <col min="5" max="5" width="4" style="1" customWidth="1"/>
    <col min="6" max="6" width="3.109375" style="2" customWidth="1"/>
    <col min="7" max="8" width="4.21875" style="2" customWidth="1"/>
    <col min="9" max="10" width="4.5546875" style="2" bestFit="1" customWidth="1"/>
    <col min="11" max="11" width="4.6640625" style="2" bestFit="1" customWidth="1"/>
    <col min="12" max="12" width="4.44140625" style="2" bestFit="1" customWidth="1"/>
    <col min="13" max="13" width="4.44140625" style="2" customWidth="1"/>
    <col min="14" max="14" width="4.44140625" style="2" bestFit="1" customWidth="1"/>
    <col min="15" max="15" width="4.44140625" style="2" customWidth="1"/>
    <col min="16" max="18" width="4.5546875" style="2" customWidth="1"/>
    <col min="19" max="19" width="5" style="2" bestFit="1" customWidth="1"/>
    <col min="20" max="22" width="4.44140625" style="2" bestFit="1" customWidth="1"/>
    <col min="23" max="24" width="4.5546875" style="2" bestFit="1" customWidth="1"/>
    <col min="25" max="25" width="4.5546875" style="2" customWidth="1"/>
    <col min="26" max="26" width="3.6640625" style="17" bestFit="1" customWidth="1"/>
    <col min="27" max="27" width="3.88671875" style="17" customWidth="1"/>
    <col min="28" max="28" width="4" style="2" bestFit="1" customWidth="1"/>
    <col min="29" max="30" width="4.5546875" style="3" bestFit="1" customWidth="1"/>
    <col min="31" max="33" width="3.6640625" style="2" bestFit="1" customWidth="1"/>
    <col min="34" max="34" width="4" style="2" bestFit="1" customWidth="1"/>
    <col min="35" max="35" width="4.5546875" style="2" bestFit="1" customWidth="1"/>
    <col min="36" max="37" width="3.6640625" style="2" bestFit="1" customWidth="1"/>
    <col min="38" max="38" width="4.5546875" style="2" bestFit="1" customWidth="1"/>
    <col min="39" max="39" width="3.109375" style="2" bestFit="1" customWidth="1"/>
    <col min="40" max="40" width="5.88671875" style="2" bestFit="1" customWidth="1"/>
    <col min="41" max="43" width="3.6640625" style="2" bestFit="1" customWidth="1"/>
    <col min="44" max="44" width="4.5546875" style="2" customWidth="1"/>
    <col min="45" max="45" width="5.88671875" style="2" bestFit="1" customWidth="1"/>
    <col min="46" max="46" width="47.44140625" style="2" bestFit="1" customWidth="1"/>
    <col min="47" max="16384" width="8.88671875" style="2"/>
  </cols>
  <sheetData>
    <row r="2" spans="1:60" ht="18.75" customHeight="1" x14ac:dyDescent="0.15">
      <c r="A2" s="5" t="s">
        <v>0</v>
      </c>
    </row>
    <row r="3" spans="1:60" s="6" customFormat="1" ht="30" customHeight="1" x14ac:dyDescent="0.3">
      <c r="A3" s="381" t="s">
        <v>3</v>
      </c>
      <c r="B3" s="381"/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381"/>
      <c r="X3" s="381"/>
      <c r="Y3" s="381"/>
      <c r="Z3" s="381"/>
      <c r="AA3" s="381"/>
      <c r="AB3" s="381"/>
      <c r="AC3" s="381"/>
      <c r="AD3" s="381"/>
      <c r="AE3" s="381"/>
      <c r="AF3" s="381"/>
      <c r="AG3" s="381"/>
      <c r="AH3" s="381"/>
      <c r="AI3" s="381"/>
      <c r="AJ3" s="381"/>
      <c r="AK3" s="381"/>
      <c r="AL3" s="381"/>
      <c r="AM3" s="381"/>
      <c r="AN3" s="381"/>
      <c r="AO3" s="381"/>
      <c r="AP3" s="381"/>
      <c r="AQ3" s="381"/>
      <c r="AR3" s="381"/>
      <c r="AS3" s="381"/>
    </row>
    <row r="4" spans="1:60" ht="21.75" customHeight="1" thickBot="1" x14ac:dyDescent="0.2">
      <c r="A4" s="166" t="s">
        <v>265</v>
      </c>
      <c r="AN4" s="4"/>
      <c r="AR4" s="4" t="s">
        <v>2</v>
      </c>
    </row>
    <row r="5" spans="1:60" s="23" customFormat="1" ht="19.5" customHeight="1" x14ac:dyDescent="0.15">
      <c r="A5" s="382" t="s">
        <v>5</v>
      </c>
      <c r="B5" s="385" t="s">
        <v>6</v>
      </c>
      <c r="C5" s="159" t="s">
        <v>7</v>
      </c>
      <c r="D5" s="160" t="s">
        <v>8</v>
      </c>
      <c r="E5" s="388" t="s">
        <v>9</v>
      </c>
      <c r="F5" s="389"/>
      <c r="G5" s="389"/>
      <c r="H5" s="389"/>
      <c r="I5" s="389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  <c r="Z5" s="389"/>
      <c r="AA5" s="389"/>
      <c r="AB5" s="389"/>
      <c r="AC5" s="389"/>
      <c r="AD5" s="389"/>
      <c r="AE5" s="389"/>
      <c r="AF5" s="389"/>
      <c r="AG5" s="389"/>
      <c r="AH5" s="389"/>
      <c r="AI5" s="389"/>
      <c r="AJ5" s="389"/>
      <c r="AK5" s="389"/>
      <c r="AL5" s="389"/>
      <c r="AM5" s="389"/>
      <c r="AN5" s="389"/>
      <c r="AO5" s="389"/>
      <c r="AP5" s="389"/>
      <c r="AQ5" s="389"/>
      <c r="AR5" s="390"/>
      <c r="AS5" s="161" t="s">
        <v>27</v>
      </c>
      <c r="AT5" s="67"/>
      <c r="AU5" s="132"/>
      <c r="AV5" s="132"/>
      <c r="AW5" s="132"/>
      <c r="AX5" s="132"/>
    </row>
    <row r="6" spans="1:60" s="23" customFormat="1" ht="25.5" customHeight="1" x14ac:dyDescent="0.15">
      <c r="A6" s="383"/>
      <c r="B6" s="386"/>
      <c r="C6" s="391" t="s">
        <v>10</v>
      </c>
      <c r="D6" s="394" t="s">
        <v>11</v>
      </c>
      <c r="E6" s="397" t="s">
        <v>22</v>
      </c>
      <c r="F6" s="397" t="s">
        <v>23</v>
      </c>
      <c r="G6" s="400" t="s">
        <v>12</v>
      </c>
      <c r="H6" s="401"/>
      <c r="I6" s="402" t="s">
        <v>13</v>
      </c>
      <c r="J6" s="403"/>
      <c r="K6" s="403"/>
      <c r="L6" s="403"/>
      <c r="M6" s="403"/>
      <c r="N6" s="403"/>
      <c r="O6" s="403"/>
      <c r="P6" s="403"/>
      <c r="Q6" s="403"/>
      <c r="R6" s="403"/>
      <c r="S6" s="404"/>
      <c r="T6" s="407" t="s">
        <v>24</v>
      </c>
      <c r="U6" s="408"/>
      <c r="V6" s="408"/>
      <c r="W6" s="408"/>
      <c r="X6" s="409"/>
      <c r="Y6" s="410"/>
      <c r="Z6" s="410"/>
      <c r="AA6" s="411"/>
      <c r="AB6" s="378" t="s">
        <v>14</v>
      </c>
      <c r="AC6" s="379"/>
      <c r="AD6" s="379"/>
      <c r="AE6" s="379"/>
      <c r="AF6" s="379"/>
      <c r="AG6" s="380"/>
      <c r="AH6" s="378" t="s">
        <v>25</v>
      </c>
      <c r="AI6" s="379"/>
      <c r="AJ6" s="379"/>
      <c r="AK6" s="378" t="s">
        <v>15</v>
      </c>
      <c r="AL6" s="379"/>
      <c r="AM6" s="380"/>
      <c r="AN6" s="19" t="s">
        <v>34</v>
      </c>
      <c r="AO6" s="378" t="s">
        <v>16</v>
      </c>
      <c r="AP6" s="379"/>
      <c r="AQ6" s="379"/>
      <c r="AR6" s="380"/>
      <c r="AS6" s="158" t="s">
        <v>32</v>
      </c>
      <c r="AU6" s="132"/>
      <c r="AV6" s="132"/>
      <c r="AW6" s="132"/>
      <c r="AX6" s="132"/>
    </row>
    <row r="7" spans="1:60" s="23" customFormat="1" ht="231.75" customHeight="1" x14ac:dyDescent="0.15">
      <c r="A7" s="383"/>
      <c r="B7" s="386"/>
      <c r="C7" s="392"/>
      <c r="D7" s="395"/>
      <c r="E7" s="398"/>
      <c r="F7" s="398"/>
      <c r="G7" s="138" t="s">
        <v>131</v>
      </c>
      <c r="H7" s="153" t="s">
        <v>132</v>
      </c>
      <c r="I7" s="140" t="s">
        <v>133</v>
      </c>
      <c r="J7" s="139" t="s">
        <v>134</v>
      </c>
      <c r="K7" s="141" t="s">
        <v>255</v>
      </c>
      <c r="L7" s="141" t="s">
        <v>237</v>
      </c>
      <c r="M7" s="141" t="s">
        <v>239</v>
      </c>
      <c r="N7" s="141" t="s">
        <v>238</v>
      </c>
      <c r="O7" s="139" t="s">
        <v>243</v>
      </c>
      <c r="P7" s="139" t="s">
        <v>242</v>
      </c>
      <c r="Q7" s="221" t="s">
        <v>250</v>
      </c>
      <c r="R7" s="139" t="s">
        <v>240</v>
      </c>
      <c r="S7" s="131" t="s">
        <v>128</v>
      </c>
      <c r="T7" s="414" t="s">
        <v>17</v>
      </c>
      <c r="U7" s="405" t="s">
        <v>26</v>
      </c>
      <c r="V7" s="405" t="s">
        <v>118</v>
      </c>
      <c r="W7" s="412" t="s">
        <v>245</v>
      </c>
      <c r="X7" s="412" t="s">
        <v>248</v>
      </c>
      <c r="Y7" s="416" t="s">
        <v>251</v>
      </c>
      <c r="Z7" s="405" t="s">
        <v>18</v>
      </c>
      <c r="AA7" s="405" t="s">
        <v>141</v>
      </c>
      <c r="AB7" s="414" t="s">
        <v>136</v>
      </c>
      <c r="AC7" s="412" t="s">
        <v>137</v>
      </c>
      <c r="AD7" s="412" t="s">
        <v>244</v>
      </c>
      <c r="AE7" s="405" t="s">
        <v>125</v>
      </c>
      <c r="AF7" s="405" t="s">
        <v>126</v>
      </c>
      <c r="AG7" s="405" t="s">
        <v>122</v>
      </c>
      <c r="AH7" s="414" t="s">
        <v>119</v>
      </c>
      <c r="AI7" s="412" t="s">
        <v>246</v>
      </c>
      <c r="AJ7" s="405" t="s">
        <v>123</v>
      </c>
      <c r="AK7" s="414" t="s">
        <v>120</v>
      </c>
      <c r="AL7" s="412" t="s">
        <v>247</v>
      </c>
      <c r="AM7" s="418" t="s">
        <v>114</v>
      </c>
      <c r="AN7" s="423" t="s">
        <v>19</v>
      </c>
      <c r="AO7" s="425" t="s">
        <v>121</v>
      </c>
      <c r="AP7" s="412" t="s">
        <v>135</v>
      </c>
      <c r="AQ7" s="412" t="s">
        <v>129</v>
      </c>
      <c r="AR7" s="418" t="s">
        <v>124</v>
      </c>
      <c r="AS7" s="420" t="s">
        <v>33</v>
      </c>
      <c r="AU7" s="133"/>
      <c r="AV7" s="134"/>
      <c r="AW7" s="422"/>
      <c r="AX7" s="135"/>
    </row>
    <row r="8" spans="1:60" s="49" customFormat="1" ht="15.75" customHeight="1" thickBot="1" x14ac:dyDescent="0.2">
      <c r="A8" s="384"/>
      <c r="B8" s="387"/>
      <c r="C8" s="393"/>
      <c r="D8" s="396"/>
      <c r="E8" s="399"/>
      <c r="F8" s="399"/>
      <c r="G8" s="222">
        <f>6+1</f>
        <v>7</v>
      </c>
      <c r="H8" s="155">
        <v>18</v>
      </c>
      <c r="I8" s="154">
        <v>20</v>
      </c>
      <c r="J8" s="155">
        <v>1</v>
      </c>
      <c r="K8" s="340">
        <f>74+1</f>
        <v>75</v>
      </c>
      <c r="L8" s="223">
        <f>4+1</f>
        <v>5</v>
      </c>
      <c r="M8" s="155">
        <v>1</v>
      </c>
      <c r="N8" s="155">
        <v>2</v>
      </c>
      <c r="O8" s="155">
        <v>3</v>
      </c>
      <c r="P8" s="155">
        <v>1</v>
      </c>
      <c r="Q8" s="155">
        <f>0+1</f>
        <v>1</v>
      </c>
      <c r="R8" s="155">
        <v>5</v>
      </c>
      <c r="S8" s="156">
        <v>3</v>
      </c>
      <c r="T8" s="415"/>
      <c r="U8" s="406"/>
      <c r="V8" s="406"/>
      <c r="W8" s="413"/>
      <c r="X8" s="413"/>
      <c r="Y8" s="417"/>
      <c r="Z8" s="406"/>
      <c r="AA8" s="406"/>
      <c r="AB8" s="415"/>
      <c r="AC8" s="413"/>
      <c r="AD8" s="413"/>
      <c r="AE8" s="406"/>
      <c r="AF8" s="406"/>
      <c r="AG8" s="406"/>
      <c r="AH8" s="415"/>
      <c r="AI8" s="413"/>
      <c r="AJ8" s="406"/>
      <c r="AK8" s="415"/>
      <c r="AL8" s="413"/>
      <c r="AM8" s="419"/>
      <c r="AN8" s="424"/>
      <c r="AO8" s="426"/>
      <c r="AP8" s="413"/>
      <c r="AQ8" s="413"/>
      <c r="AR8" s="419"/>
      <c r="AS8" s="421"/>
      <c r="AU8" s="136"/>
      <c r="AV8" s="136"/>
      <c r="AW8" s="422"/>
      <c r="AX8" s="136"/>
    </row>
    <row r="9" spans="1:60" s="70" customFormat="1" ht="33.75" customHeight="1" thickTop="1" thickBot="1" x14ac:dyDescent="0.2">
      <c r="A9" s="68" t="s">
        <v>20</v>
      </c>
      <c r="B9" s="69">
        <f>SUM(B10:B19)</f>
        <v>338</v>
      </c>
      <c r="C9" s="224">
        <v>1</v>
      </c>
      <c r="D9" s="27">
        <v>1</v>
      </c>
      <c r="E9" s="121">
        <f>SUM(E10:E19)</f>
        <v>332</v>
      </c>
      <c r="F9" s="28">
        <f>SUM(F10:F19)</f>
        <v>7</v>
      </c>
      <c r="G9" s="29"/>
      <c r="H9" s="30">
        <f>SUM(H10:H19)</f>
        <v>25</v>
      </c>
      <c r="I9" s="26"/>
      <c r="J9" s="31"/>
      <c r="K9" s="31"/>
      <c r="L9" s="31"/>
      <c r="M9" s="31"/>
      <c r="N9" s="31"/>
      <c r="O9" s="31"/>
      <c r="P9" s="31"/>
      <c r="Q9" s="31"/>
      <c r="R9" s="31"/>
      <c r="S9" s="27">
        <f t="shared" ref="S9:AR9" si="0">SUM(S10:S19)</f>
        <v>117</v>
      </c>
      <c r="T9" s="32">
        <f t="shared" si="0"/>
        <v>66</v>
      </c>
      <c r="U9" s="32">
        <f t="shared" si="0"/>
        <v>6</v>
      </c>
      <c r="V9" s="32">
        <f t="shared" si="0"/>
        <v>2</v>
      </c>
      <c r="W9" s="32">
        <f t="shared" si="0"/>
        <v>1</v>
      </c>
      <c r="X9" s="32">
        <f t="shared" si="0"/>
        <v>6</v>
      </c>
      <c r="Y9" s="32">
        <f t="shared" si="0"/>
        <v>1</v>
      </c>
      <c r="Z9" s="32">
        <f t="shared" si="0"/>
        <v>2</v>
      </c>
      <c r="AA9" s="225">
        <f t="shared" si="0"/>
        <v>1</v>
      </c>
      <c r="AB9" s="226">
        <f t="shared" si="0"/>
        <v>44</v>
      </c>
      <c r="AC9" s="32">
        <f t="shared" si="0"/>
        <v>5</v>
      </c>
      <c r="AD9" s="32">
        <f t="shared" si="0"/>
        <v>1</v>
      </c>
      <c r="AE9" s="32">
        <f t="shared" si="0"/>
        <v>3</v>
      </c>
      <c r="AF9" s="32">
        <f t="shared" si="0"/>
        <v>1</v>
      </c>
      <c r="AG9" s="227">
        <f t="shared" si="0"/>
        <v>1</v>
      </c>
      <c r="AH9" s="33">
        <f t="shared" si="0"/>
        <v>23</v>
      </c>
      <c r="AI9" s="33">
        <f t="shared" si="0"/>
        <v>1</v>
      </c>
      <c r="AJ9" s="32">
        <f t="shared" si="0"/>
        <v>1</v>
      </c>
      <c r="AK9" s="33">
        <f t="shared" si="0"/>
        <v>8</v>
      </c>
      <c r="AL9" s="31">
        <v>1</v>
      </c>
      <c r="AM9" s="27">
        <f t="shared" si="0"/>
        <v>4</v>
      </c>
      <c r="AN9" s="28">
        <f t="shared" si="0"/>
        <v>1</v>
      </c>
      <c r="AO9" s="33">
        <f t="shared" si="0"/>
        <v>1</v>
      </c>
      <c r="AP9" s="33">
        <f t="shared" si="0"/>
        <v>1</v>
      </c>
      <c r="AQ9" s="33">
        <f t="shared" si="0"/>
        <v>1</v>
      </c>
      <c r="AR9" s="33">
        <f t="shared" si="0"/>
        <v>1</v>
      </c>
      <c r="AS9" s="228">
        <f>SUM(AS10:AS19)</f>
        <v>4</v>
      </c>
      <c r="AU9" s="137"/>
      <c r="AV9" s="137"/>
      <c r="AW9" s="137"/>
      <c r="AX9" s="137"/>
    </row>
    <row r="10" spans="1:60" s="67" customFormat="1" ht="32.1" customHeight="1" x14ac:dyDescent="0.15">
      <c r="A10" s="71" t="s">
        <v>35</v>
      </c>
      <c r="B10" s="72">
        <f>C10+D10+E10</f>
        <v>5</v>
      </c>
      <c r="C10" s="229">
        <v>1</v>
      </c>
      <c r="D10" s="230">
        <v>1</v>
      </c>
      <c r="E10" s="12">
        <f>SUM(F10:AS10)</f>
        <v>3</v>
      </c>
      <c r="F10" s="231"/>
      <c r="G10" s="232"/>
      <c r="H10" s="231"/>
      <c r="I10" s="36"/>
      <c r="J10" s="233"/>
      <c r="K10" s="233"/>
      <c r="L10" s="233"/>
      <c r="M10" s="233"/>
      <c r="N10" s="233"/>
      <c r="O10" s="233"/>
      <c r="P10" s="233"/>
      <c r="Q10" s="233"/>
      <c r="R10" s="233"/>
      <c r="S10" s="234">
        <v>1</v>
      </c>
      <c r="T10" s="231">
        <v>1</v>
      </c>
      <c r="U10" s="235"/>
      <c r="V10" s="235"/>
      <c r="W10" s="235"/>
      <c r="X10" s="235"/>
      <c r="Y10" s="235"/>
      <c r="Z10" s="235"/>
      <c r="AA10" s="236"/>
      <c r="AB10" s="231"/>
      <c r="AC10" s="235"/>
      <c r="AD10" s="235"/>
      <c r="AE10" s="235"/>
      <c r="AF10" s="235"/>
      <c r="AG10" s="371">
        <f>1-1</f>
        <v>0</v>
      </c>
      <c r="AH10" s="231"/>
      <c r="AI10" s="237"/>
      <c r="AJ10" s="234"/>
      <c r="AK10" s="231"/>
      <c r="AL10" s="237"/>
      <c r="AM10" s="372">
        <f>0+1</f>
        <v>1</v>
      </c>
      <c r="AN10" s="234"/>
      <c r="AO10" s="231"/>
      <c r="AP10" s="231"/>
      <c r="AQ10" s="235"/>
      <c r="AR10" s="238"/>
      <c r="AS10" s="239"/>
      <c r="AT10" s="376" t="s">
        <v>270</v>
      </c>
      <c r="AU10" s="377"/>
      <c r="AV10" s="377"/>
      <c r="AW10" s="377"/>
      <c r="AX10" s="377"/>
      <c r="AY10" s="377"/>
      <c r="AZ10" s="377"/>
      <c r="BA10" s="377"/>
      <c r="BB10" s="377"/>
      <c r="BC10" s="377"/>
      <c r="BD10" s="377"/>
      <c r="BE10" s="377"/>
      <c r="BF10" s="377"/>
      <c r="BG10" s="377"/>
      <c r="BH10" s="377"/>
    </row>
    <row r="11" spans="1:60" s="67" customFormat="1" ht="32.1" customHeight="1" x14ac:dyDescent="0.15">
      <c r="A11" s="73" t="s">
        <v>36</v>
      </c>
      <c r="B11" s="74">
        <f t="shared" ref="B11:B19" si="1">E11+AS11</f>
        <v>2</v>
      </c>
      <c r="C11" s="240"/>
      <c r="D11" s="241"/>
      <c r="E11" s="12">
        <f t="shared" ref="E11:E17" si="2">SUM(F11:AR11)</f>
        <v>2</v>
      </c>
      <c r="F11" s="231">
        <v>1</v>
      </c>
      <c r="G11" s="39"/>
      <c r="H11" s="231"/>
      <c r="I11" s="39"/>
      <c r="J11" s="40"/>
      <c r="K11" s="40"/>
      <c r="L11" s="40"/>
      <c r="M11" s="40"/>
      <c r="N11" s="40"/>
      <c r="O11" s="40"/>
      <c r="P11" s="40"/>
      <c r="Q11" s="233"/>
      <c r="R11" s="233"/>
      <c r="S11" s="238"/>
      <c r="T11" s="231">
        <v>1</v>
      </c>
      <c r="U11" s="235"/>
      <c r="V11" s="235"/>
      <c r="W11" s="235"/>
      <c r="X11" s="235"/>
      <c r="Y11" s="235"/>
      <c r="Z11" s="235"/>
      <c r="AA11" s="242"/>
      <c r="AB11" s="231"/>
      <c r="AC11" s="235"/>
      <c r="AD11" s="235"/>
      <c r="AE11" s="235"/>
      <c r="AF11" s="235"/>
      <c r="AG11" s="238"/>
      <c r="AH11" s="231"/>
      <c r="AI11" s="237"/>
      <c r="AJ11" s="238"/>
      <c r="AK11" s="231"/>
      <c r="AL11" s="237"/>
      <c r="AM11" s="41"/>
      <c r="AN11" s="238"/>
      <c r="AO11" s="231"/>
      <c r="AP11" s="231"/>
      <c r="AQ11" s="235"/>
      <c r="AR11" s="238"/>
      <c r="AS11" s="239"/>
    </row>
    <row r="12" spans="1:60" s="67" customFormat="1" ht="32.1" customHeight="1" x14ac:dyDescent="0.15">
      <c r="A12" s="75" t="s">
        <v>37</v>
      </c>
      <c r="B12" s="74">
        <f t="shared" si="1"/>
        <v>9</v>
      </c>
      <c r="C12" s="240"/>
      <c r="D12" s="241"/>
      <c r="E12" s="12">
        <f t="shared" si="2"/>
        <v>9</v>
      </c>
      <c r="F12" s="231"/>
      <c r="G12" s="39"/>
      <c r="H12" s="231">
        <v>1</v>
      </c>
      <c r="I12" s="39"/>
      <c r="J12" s="40"/>
      <c r="K12" s="40"/>
      <c r="L12" s="40"/>
      <c r="M12" s="40"/>
      <c r="N12" s="40"/>
      <c r="O12" s="40"/>
      <c r="P12" s="40"/>
      <c r="Q12" s="233"/>
      <c r="R12" s="233"/>
      <c r="S12" s="238">
        <v>2</v>
      </c>
      <c r="T12" s="231">
        <f>1+1</f>
        <v>2</v>
      </c>
      <c r="U12" s="235"/>
      <c r="V12" s="235"/>
      <c r="W12" s="235"/>
      <c r="X12" s="235"/>
      <c r="Y12" s="235"/>
      <c r="Z12" s="235"/>
      <c r="AA12" s="242"/>
      <c r="AB12" s="231"/>
      <c r="AC12" s="235"/>
      <c r="AD12" s="235"/>
      <c r="AE12" s="235"/>
      <c r="AF12" s="235"/>
      <c r="AG12" s="238"/>
      <c r="AH12" s="231">
        <v>1</v>
      </c>
      <c r="AI12" s="237"/>
      <c r="AJ12" s="238"/>
      <c r="AK12" s="231"/>
      <c r="AL12" s="237"/>
      <c r="AM12" s="41"/>
      <c r="AN12" s="238"/>
      <c r="AO12" s="231"/>
      <c r="AP12" s="231">
        <v>1</v>
      </c>
      <c r="AQ12" s="235">
        <v>1</v>
      </c>
      <c r="AR12" s="238">
        <v>1</v>
      </c>
      <c r="AS12" s="239"/>
      <c r="AT12" s="70"/>
    </row>
    <row r="13" spans="1:60" s="67" customFormat="1" ht="32.1" customHeight="1" x14ac:dyDescent="0.15">
      <c r="A13" s="75" t="s">
        <v>38</v>
      </c>
      <c r="B13" s="74">
        <f t="shared" si="1"/>
        <v>23</v>
      </c>
      <c r="C13" s="240"/>
      <c r="D13" s="241"/>
      <c r="E13" s="12">
        <f t="shared" si="2"/>
        <v>23</v>
      </c>
      <c r="F13" s="231"/>
      <c r="G13" s="39"/>
      <c r="H13" s="231">
        <v>1</v>
      </c>
      <c r="I13" s="39"/>
      <c r="J13" s="40"/>
      <c r="K13" s="40"/>
      <c r="L13" s="40" t="s">
        <v>130</v>
      </c>
      <c r="M13" s="40"/>
      <c r="N13" s="40"/>
      <c r="O13" s="40"/>
      <c r="P13" s="40"/>
      <c r="Q13" s="233"/>
      <c r="R13" s="233"/>
      <c r="S13" s="238">
        <v>5</v>
      </c>
      <c r="T13" s="231">
        <v>4</v>
      </c>
      <c r="U13" s="235"/>
      <c r="V13" s="235"/>
      <c r="W13" s="235"/>
      <c r="X13" s="235"/>
      <c r="Y13" s="235">
        <f>0+1</f>
        <v>1</v>
      </c>
      <c r="Z13" s="235"/>
      <c r="AA13" s="242"/>
      <c r="AB13" s="231">
        <v>4</v>
      </c>
      <c r="AC13" s="235"/>
      <c r="AD13" s="235"/>
      <c r="AE13" s="235"/>
      <c r="AF13" s="235"/>
      <c r="AG13" s="374">
        <f>0+1</f>
        <v>1</v>
      </c>
      <c r="AH13" s="231">
        <v>2</v>
      </c>
      <c r="AI13" s="237"/>
      <c r="AJ13" s="238"/>
      <c r="AK13" s="231">
        <v>1</v>
      </c>
      <c r="AL13" s="237"/>
      <c r="AM13" s="375">
        <f>4-1</f>
        <v>3</v>
      </c>
      <c r="AN13" s="238"/>
      <c r="AO13" s="231">
        <v>1</v>
      </c>
      <c r="AP13" s="231"/>
      <c r="AQ13" s="235"/>
      <c r="AR13" s="238"/>
      <c r="AS13" s="239"/>
      <c r="AT13" s="376" t="s">
        <v>270</v>
      </c>
      <c r="AU13" s="377"/>
      <c r="AV13" s="377"/>
      <c r="AW13" s="377"/>
      <c r="AX13" s="377"/>
      <c r="AY13" s="377"/>
      <c r="AZ13" s="377"/>
      <c r="BA13" s="377"/>
      <c r="BB13" s="377"/>
      <c r="BC13" s="377"/>
      <c r="BD13" s="377"/>
      <c r="BE13" s="377"/>
      <c r="BF13" s="377"/>
      <c r="BG13" s="377"/>
      <c r="BH13" s="377"/>
    </row>
    <row r="14" spans="1:60" s="67" customFormat="1" ht="32.1" customHeight="1" x14ac:dyDescent="0.15">
      <c r="A14" s="75" t="s">
        <v>39</v>
      </c>
      <c r="B14" s="74">
        <f t="shared" si="1"/>
        <v>61</v>
      </c>
      <c r="C14" s="240"/>
      <c r="D14" s="241"/>
      <c r="E14" s="12">
        <f t="shared" si="2"/>
        <v>61</v>
      </c>
      <c r="F14" s="231">
        <v>1</v>
      </c>
      <c r="G14" s="39"/>
      <c r="H14" s="231">
        <v>4</v>
      </c>
      <c r="I14" s="39"/>
      <c r="J14" s="40"/>
      <c r="K14" s="40"/>
      <c r="L14" s="40"/>
      <c r="M14" s="40"/>
      <c r="N14" s="40"/>
      <c r="O14" s="40"/>
      <c r="P14" s="40"/>
      <c r="Q14" s="40"/>
      <c r="R14" s="40"/>
      <c r="S14" s="341">
        <f>19+1</f>
        <v>20</v>
      </c>
      <c r="T14" s="342">
        <f>10+3</f>
        <v>13</v>
      </c>
      <c r="U14" s="235">
        <v>1</v>
      </c>
      <c r="V14" s="235"/>
      <c r="W14" s="235"/>
      <c r="X14" s="235"/>
      <c r="Y14" s="235"/>
      <c r="Z14" s="235">
        <v>2</v>
      </c>
      <c r="AA14" s="242"/>
      <c r="AB14" s="350">
        <f>8-1</f>
        <v>7</v>
      </c>
      <c r="AC14" s="235">
        <v>2</v>
      </c>
      <c r="AD14" s="235"/>
      <c r="AE14" s="235">
        <v>3</v>
      </c>
      <c r="AF14" s="235"/>
      <c r="AG14" s="238"/>
      <c r="AH14" s="231">
        <v>4</v>
      </c>
      <c r="AI14" s="237"/>
      <c r="AJ14" s="238">
        <v>1</v>
      </c>
      <c r="AK14" s="231">
        <v>3</v>
      </c>
      <c r="AL14" s="237"/>
      <c r="AM14" s="41"/>
      <c r="AN14" s="238"/>
      <c r="AO14" s="231"/>
      <c r="AP14" s="231"/>
      <c r="AQ14" s="235"/>
      <c r="AR14" s="238"/>
      <c r="AS14" s="239"/>
      <c r="AT14" s="347" t="s">
        <v>267</v>
      </c>
    </row>
    <row r="15" spans="1:60" s="67" customFormat="1" ht="32.1" customHeight="1" x14ac:dyDescent="0.15">
      <c r="A15" s="75" t="s">
        <v>67</v>
      </c>
      <c r="B15" s="74">
        <f t="shared" si="1"/>
        <v>26</v>
      </c>
      <c r="C15" s="240"/>
      <c r="D15" s="241"/>
      <c r="E15" s="12">
        <f t="shared" si="2"/>
        <v>26</v>
      </c>
      <c r="F15" s="231">
        <v>1</v>
      </c>
      <c r="G15" s="39"/>
      <c r="H15" s="231">
        <v>2</v>
      </c>
      <c r="I15" s="39"/>
      <c r="J15" s="40"/>
      <c r="K15" s="40"/>
      <c r="L15" s="40"/>
      <c r="M15" s="40"/>
      <c r="N15" s="40"/>
      <c r="O15" s="40"/>
      <c r="P15" s="40"/>
      <c r="Q15" s="233"/>
      <c r="R15" s="233"/>
      <c r="S15" s="238">
        <f>10+1</f>
        <v>11</v>
      </c>
      <c r="T15" s="231">
        <v>5</v>
      </c>
      <c r="U15" s="235"/>
      <c r="V15" s="235"/>
      <c r="W15" s="235"/>
      <c r="X15" s="235">
        <v>1</v>
      </c>
      <c r="Y15" s="235"/>
      <c r="Z15" s="235"/>
      <c r="AA15" s="242"/>
      <c r="AB15" s="231">
        <v>5</v>
      </c>
      <c r="AC15" s="235"/>
      <c r="AD15" s="235"/>
      <c r="AE15" s="235"/>
      <c r="AF15" s="235"/>
      <c r="AG15" s="238"/>
      <c r="AH15" s="231"/>
      <c r="AI15" s="237"/>
      <c r="AJ15" s="238"/>
      <c r="AK15" s="231">
        <v>1</v>
      </c>
      <c r="AL15" s="237"/>
      <c r="AM15" s="41"/>
      <c r="AN15" s="238"/>
      <c r="AO15" s="231"/>
      <c r="AP15" s="231"/>
      <c r="AQ15" s="235"/>
      <c r="AR15" s="238"/>
      <c r="AS15" s="239"/>
      <c r="AT15" s="70"/>
    </row>
    <row r="16" spans="1:60" s="67" customFormat="1" ht="32.1" customHeight="1" x14ac:dyDescent="0.15">
      <c r="A16" s="75" t="s">
        <v>21</v>
      </c>
      <c r="B16" s="74">
        <f t="shared" si="1"/>
        <v>68</v>
      </c>
      <c r="C16" s="240"/>
      <c r="D16" s="241"/>
      <c r="E16" s="12">
        <f t="shared" si="2"/>
        <v>68</v>
      </c>
      <c r="F16" s="231">
        <v>1</v>
      </c>
      <c r="G16" s="39"/>
      <c r="H16" s="231">
        <v>5</v>
      </c>
      <c r="I16" s="39"/>
      <c r="J16" s="40"/>
      <c r="K16" s="40"/>
      <c r="L16" s="40"/>
      <c r="M16" s="40"/>
      <c r="N16" s="40"/>
      <c r="O16" s="40"/>
      <c r="P16" s="40"/>
      <c r="Q16" s="40"/>
      <c r="R16" s="40"/>
      <c r="S16" s="243">
        <f>23+1</f>
        <v>24</v>
      </c>
      <c r="T16" s="342">
        <f>17+1</f>
        <v>18</v>
      </c>
      <c r="U16" s="235">
        <v>2</v>
      </c>
      <c r="V16" s="235"/>
      <c r="W16" s="235"/>
      <c r="X16" s="235">
        <v>2</v>
      </c>
      <c r="Y16" s="235"/>
      <c r="Z16" s="235"/>
      <c r="AA16" s="242"/>
      <c r="AB16" s="231">
        <f>8</f>
        <v>8</v>
      </c>
      <c r="AC16" s="235">
        <v>1</v>
      </c>
      <c r="AD16" s="235"/>
      <c r="AE16" s="235"/>
      <c r="AF16" s="235"/>
      <c r="AG16" s="238"/>
      <c r="AH16" s="231">
        <v>5</v>
      </c>
      <c r="AI16" s="237"/>
      <c r="AJ16" s="238"/>
      <c r="AK16" s="231">
        <v>1</v>
      </c>
      <c r="AL16" s="237"/>
      <c r="AM16" s="41"/>
      <c r="AN16" s="238">
        <v>1</v>
      </c>
      <c r="AO16" s="231"/>
      <c r="AP16" s="231"/>
      <c r="AQ16" s="235"/>
      <c r="AR16" s="238"/>
      <c r="AS16" s="239"/>
      <c r="AT16" s="376" t="s">
        <v>269</v>
      </c>
      <c r="AU16" s="377"/>
      <c r="AV16" s="377"/>
      <c r="AW16" s="377"/>
      <c r="AX16" s="377"/>
      <c r="AY16" s="377"/>
      <c r="AZ16" s="377"/>
      <c r="BA16" s="377"/>
      <c r="BB16" s="377"/>
      <c r="BC16" s="377"/>
      <c r="BD16" s="377"/>
      <c r="BE16" s="377"/>
      <c r="BF16" s="377"/>
      <c r="BG16" s="377"/>
      <c r="BH16" s="377"/>
    </row>
    <row r="17" spans="1:60" s="67" customFormat="1" ht="32.1" customHeight="1" x14ac:dyDescent="0.15">
      <c r="A17" s="75" t="s">
        <v>68</v>
      </c>
      <c r="B17" s="74">
        <f t="shared" si="1"/>
        <v>49</v>
      </c>
      <c r="C17" s="240"/>
      <c r="D17" s="241"/>
      <c r="E17" s="12">
        <f t="shared" si="2"/>
        <v>49</v>
      </c>
      <c r="F17" s="231">
        <v>1</v>
      </c>
      <c r="G17" s="39"/>
      <c r="H17" s="231">
        <v>3</v>
      </c>
      <c r="I17" s="39"/>
      <c r="J17" s="40"/>
      <c r="K17" s="40"/>
      <c r="L17" s="40"/>
      <c r="M17" s="40"/>
      <c r="N17" s="40"/>
      <c r="O17" s="40"/>
      <c r="P17" s="40"/>
      <c r="Q17" s="40"/>
      <c r="R17" s="40"/>
      <c r="S17" s="243">
        <f>21+1</f>
        <v>22</v>
      </c>
      <c r="T17" s="350">
        <f>11-1-1</f>
        <v>9</v>
      </c>
      <c r="U17" s="235">
        <v>1</v>
      </c>
      <c r="V17" s="235"/>
      <c r="W17" s="235"/>
      <c r="X17" s="235"/>
      <c r="Y17" s="235"/>
      <c r="Z17" s="235"/>
      <c r="AA17" s="242"/>
      <c r="AB17" s="231">
        <v>9</v>
      </c>
      <c r="AC17" s="235">
        <v>1</v>
      </c>
      <c r="AD17" s="235"/>
      <c r="AE17" s="235"/>
      <c r="AF17" s="235"/>
      <c r="AG17" s="238"/>
      <c r="AH17" s="231">
        <v>2</v>
      </c>
      <c r="AI17" s="237"/>
      <c r="AJ17" s="238"/>
      <c r="AK17" s="231">
        <v>1</v>
      </c>
      <c r="AL17" s="237"/>
      <c r="AM17" s="41"/>
      <c r="AN17" s="238"/>
      <c r="AO17" s="231"/>
      <c r="AP17" s="231"/>
      <c r="AQ17" s="235"/>
      <c r="AR17" s="238"/>
      <c r="AS17" s="239"/>
      <c r="AT17" s="376" t="s">
        <v>269</v>
      </c>
      <c r="AU17" s="377"/>
      <c r="AV17" s="377"/>
      <c r="AW17" s="377"/>
      <c r="AX17" s="377"/>
      <c r="AY17" s="377"/>
      <c r="AZ17" s="377"/>
      <c r="BA17" s="377"/>
      <c r="BB17" s="377"/>
      <c r="BC17" s="377"/>
      <c r="BD17" s="377"/>
      <c r="BE17" s="377"/>
      <c r="BF17" s="377"/>
      <c r="BG17" s="377"/>
      <c r="BH17" s="377"/>
    </row>
    <row r="18" spans="1:60" s="67" customFormat="1" ht="32.1" customHeight="1" x14ac:dyDescent="0.15">
      <c r="A18" s="76" t="s">
        <v>69</v>
      </c>
      <c r="B18" s="74">
        <f t="shared" si="1"/>
        <v>41</v>
      </c>
      <c r="C18" s="240"/>
      <c r="D18" s="241"/>
      <c r="E18" s="12">
        <f>SUM(F18:AR18)</f>
        <v>41</v>
      </c>
      <c r="F18" s="231">
        <v>1</v>
      </c>
      <c r="G18" s="44"/>
      <c r="H18" s="231">
        <v>5</v>
      </c>
      <c r="I18" s="44"/>
      <c r="J18" s="244"/>
      <c r="K18" s="244"/>
      <c r="L18" s="244"/>
      <c r="M18" s="244"/>
      <c r="N18" s="244"/>
      <c r="O18" s="244"/>
      <c r="P18" s="244"/>
      <c r="Q18" s="244"/>
      <c r="R18" s="244"/>
      <c r="S18" s="41">
        <f>15</f>
        <v>15</v>
      </c>
      <c r="T18" s="231">
        <f>7+1</f>
        <v>8</v>
      </c>
      <c r="U18" s="235"/>
      <c r="V18" s="235"/>
      <c r="W18" s="235"/>
      <c r="X18" s="235">
        <f>2+1</f>
        <v>3</v>
      </c>
      <c r="Y18" s="235"/>
      <c r="Z18" s="235"/>
      <c r="AA18" s="242"/>
      <c r="AB18" s="231">
        <v>6</v>
      </c>
      <c r="AC18" s="235">
        <v>1</v>
      </c>
      <c r="AD18" s="235"/>
      <c r="AE18" s="235"/>
      <c r="AF18" s="235"/>
      <c r="AG18" s="238"/>
      <c r="AH18" s="231">
        <v>2</v>
      </c>
      <c r="AI18" s="237"/>
      <c r="AJ18" s="238"/>
      <c r="AK18" s="231">
        <v>0</v>
      </c>
      <c r="AL18" s="245"/>
      <c r="AM18" s="45"/>
      <c r="AN18" s="238"/>
      <c r="AO18" s="231"/>
      <c r="AP18" s="231"/>
      <c r="AQ18" s="235"/>
      <c r="AR18" s="238"/>
      <c r="AS18" s="239"/>
      <c r="AT18" s="70"/>
    </row>
    <row r="19" spans="1:60" s="67" customFormat="1" ht="32.1" customHeight="1" thickBot="1" x14ac:dyDescent="0.2">
      <c r="A19" s="77" t="s">
        <v>97</v>
      </c>
      <c r="B19" s="120">
        <f t="shared" si="1"/>
        <v>54</v>
      </c>
      <c r="C19" s="246"/>
      <c r="D19" s="247"/>
      <c r="E19" s="125">
        <f>SUM(F19:AR19)</f>
        <v>50</v>
      </c>
      <c r="F19" s="248">
        <v>1</v>
      </c>
      <c r="G19" s="47"/>
      <c r="H19" s="248">
        <f>3+1</f>
        <v>4</v>
      </c>
      <c r="I19" s="47"/>
      <c r="J19" s="249"/>
      <c r="K19" s="249"/>
      <c r="L19" s="249"/>
      <c r="M19" s="249"/>
      <c r="N19" s="249"/>
      <c r="O19" s="249"/>
      <c r="P19" s="249"/>
      <c r="Q19" s="249"/>
      <c r="R19" s="249"/>
      <c r="S19" s="252">
        <f>14+1+1+1</f>
        <v>17</v>
      </c>
      <c r="T19" s="248">
        <f>6-1</f>
        <v>5</v>
      </c>
      <c r="U19" s="250">
        <v>2</v>
      </c>
      <c r="V19" s="250">
        <v>2</v>
      </c>
      <c r="W19" s="250">
        <f>1</f>
        <v>1</v>
      </c>
      <c r="X19" s="250"/>
      <c r="Y19" s="250"/>
      <c r="Z19" s="250"/>
      <c r="AA19" s="251">
        <v>1</v>
      </c>
      <c r="AB19" s="351">
        <f>4-1+1+1</f>
        <v>5</v>
      </c>
      <c r="AC19" s="250"/>
      <c r="AD19" s="250">
        <f>0+1</f>
        <v>1</v>
      </c>
      <c r="AE19" s="250"/>
      <c r="AF19" s="250">
        <v>1</v>
      </c>
      <c r="AG19" s="252"/>
      <c r="AH19" s="248">
        <f>8-1</f>
        <v>7</v>
      </c>
      <c r="AI19" s="253">
        <f>0+1</f>
        <v>1</v>
      </c>
      <c r="AJ19" s="252"/>
      <c r="AK19" s="248">
        <f>2-1</f>
        <v>1</v>
      </c>
      <c r="AL19" s="253">
        <f>0+1</f>
        <v>1</v>
      </c>
      <c r="AM19" s="48"/>
      <c r="AN19" s="252"/>
      <c r="AO19" s="248"/>
      <c r="AP19" s="248"/>
      <c r="AQ19" s="250"/>
      <c r="AR19" s="252"/>
      <c r="AS19" s="254">
        <v>4</v>
      </c>
      <c r="AT19" s="376" t="s">
        <v>268</v>
      </c>
      <c r="AU19" s="377"/>
      <c r="AV19" s="377"/>
      <c r="AW19" s="377"/>
      <c r="AX19" s="377"/>
      <c r="AY19" s="377"/>
      <c r="AZ19" s="377"/>
      <c r="BA19" s="377"/>
      <c r="BB19" s="377"/>
      <c r="BC19" s="377"/>
      <c r="BD19" s="377"/>
      <c r="BE19" s="377"/>
      <c r="BF19" s="377"/>
      <c r="BG19" s="377"/>
      <c r="BH19" s="377"/>
    </row>
    <row r="20" spans="1:60" ht="30" customHeight="1" x14ac:dyDescent="0.15"/>
    <row r="21" spans="1:60" ht="24.95" customHeight="1" x14ac:dyDescent="0.15"/>
  </sheetData>
  <mergeCells count="47">
    <mergeCell ref="AT16:BH16"/>
    <mergeCell ref="AT17:BH17"/>
    <mergeCell ref="AJ7:AJ8"/>
    <mergeCell ref="AK7:AK8"/>
    <mergeCell ref="AQ7:AQ8"/>
    <mergeCell ref="AR7:AR8"/>
    <mergeCell ref="AS7:AS8"/>
    <mergeCell ref="AL7:AL8"/>
    <mergeCell ref="AW7:AW8"/>
    <mergeCell ref="AM7:AM8"/>
    <mergeCell ref="AN7:AN8"/>
    <mergeCell ref="AO7:AO8"/>
    <mergeCell ref="AP7:AP8"/>
    <mergeCell ref="AT10:BH10"/>
    <mergeCell ref="AT13:BH13"/>
    <mergeCell ref="AK6:AM6"/>
    <mergeCell ref="AI7:AI8"/>
    <mergeCell ref="T7:T8"/>
    <mergeCell ref="U7:U8"/>
    <mergeCell ref="V7:V8"/>
    <mergeCell ref="W7:W8"/>
    <mergeCell ref="X7:X8"/>
    <mergeCell ref="AD7:AD8"/>
    <mergeCell ref="AE7:AE8"/>
    <mergeCell ref="AF7:AF8"/>
    <mergeCell ref="AG7:AG8"/>
    <mergeCell ref="AH7:AH8"/>
    <mergeCell ref="AA7:AA8"/>
    <mergeCell ref="AB7:AB8"/>
    <mergeCell ref="AC7:AC8"/>
    <mergeCell ref="Y7:Y8"/>
    <mergeCell ref="AT19:BH19"/>
    <mergeCell ref="AO6:AR6"/>
    <mergeCell ref="A3:AS3"/>
    <mergeCell ref="A5:A8"/>
    <mergeCell ref="B5:B8"/>
    <mergeCell ref="E5:AR5"/>
    <mergeCell ref="C6:C8"/>
    <mergeCell ref="D6:D8"/>
    <mergeCell ref="E6:E8"/>
    <mergeCell ref="F6:F8"/>
    <mergeCell ref="G6:H6"/>
    <mergeCell ref="I6:S6"/>
    <mergeCell ref="Z7:Z8"/>
    <mergeCell ref="T6:AA6"/>
    <mergeCell ref="AB6:AG6"/>
    <mergeCell ref="AH6:AJ6"/>
  </mergeCells>
  <phoneticPr fontId="1" type="noConversion"/>
  <printOptions horizontalCentered="1"/>
  <pageMargins left="0.15748031496062992" right="0" top="0.19685039370078741" bottom="0" header="0.51181102362204722" footer="0.51181102362204722"/>
  <pageSetup paperSize="9" scale="58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BI80"/>
  <sheetViews>
    <sheetView view="pageBreakPreview" zoomScale="70" zoomScaleNormal="70" zoomScaleSheetLayoutView="70" workbookViewId="0">
      <selection activeCell="A2" sqref="A2"/>
    </sheetView>
  </sheetViews>
  <sheetFormatPr defaultColWidth="8.88671875" defaultRowHeight="4.5" customHeight="1" x14ac:dyDescent="0.15"/>
  <cols>
    <col min="1" max="1" width="17.109375" style="2" customWidth="1"/>
    <col min="2" max="2" width="6" style="1" customWidth="1"/>
    <col min="3" max="4" width="4.44140625" style="2" customWidth="1"/>
    <col min="5" max="5" width="5.21875" style="1" customWidth="1"/>
    <col min="6" max="6" width="3.109375" style="2" customWidth="1"/>
    <col min="7" max="23" width="4.21875" style="2" customWidth="1"/>
    <col min="24" max="24" width="4.5546875" style="2" bestFit="1" customWidth="1"/>
    <col min="25" max="28" width="4.21875" style="2" customWidth="1"/>
    <col min="29" max="30" width="4.21875" style="3" customWidth="1"/>
    <col min="31" max="39" width="4.21875" style="2" customWidth="1"/>
    <col min="40" max="40" width="5.88671875" style="2" bestFit="1" customWidth="1"/>
    <col min="41" max="44" width="4.21875" style="2" customWidth="1"/>
    <col min="45" max="45" width="5.109375" style="2" customWidth="1"/>
    <col min="46" max="46" width="0" style="2" hidden="1" customWidth="1"/>
    <col min="47" max="47" width="47.44140625" style="2" bestFit="1" customWidth="1"/>
    <col min="48" max="16384" width="8.88671875" style="2"/>
  </cols>
  <sheetData>
    <row r="2" spans="1:61" ht="18.75" customHeight="1" x14ac:dyDescent="0.15">
      <c r="A2" s="5" t="s">
        <v>4</v>
      </c>
    </row>
    <row r="3" spans="1:61" s="6" customFormat="1" ht="30" customHeight="1" x14ac:dyDescent="0.3">
      <c r="A3" s="381" t="s">
        <v>1</v>
      </c>
      <c r="B3" s="381"/>
      <c r="C3" s="381"/>
      <c r="D3" s="381"/>
      <c r="E3" s="381"/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381"/>
      <c r="X3" s="381"/>
      <c r="Y3" s="381"/>
      <c r="Z3" s="381"/>
      <c r="AA3" s="381"/>
      <c r="AB3" s="381"/>
      <c r="AC3" s="381"/>
      <c r="AD3" s="381"/>
      <c r="AE3" s="381"/>
      <c r="AF3" s="381"/>
      <c r="AG3" s="381"/>
      <c r="AH3" s="381"/>
      <c r="AI3" s="381"/>
      <c r="AJ3" s="381"/>
      <c r="AK3" s="381"/>
      <c r="AL3" s="381"/>
      <c r="AM3" s="381"/>
      <c r="AN3" s="381"/>
      <c r="AO3" s="381"/>
      <c r="AP3" s="381"/>
      <c r="AQ3" s="381"/>
      <c r="AR3" s="381"/>
      <c r="AS3" s="381"/>
    </row>
    <row r="4" spans="1:61" ht="21.75" customHeight="1" thickBot="1" x14ac:dyDescent="0.2">
      <c r="A4" s="166" t="s">
        <v>265</v>
      </c>
      <c r="AN4" s="4"/>
      <c r="AR4" s="4" t="s">
        <v>2</v>
      </c>
    </row>
    <row r="5" spans="1:61" s="8" customFormat="1" ht="19.5" customHeight="1" x14ac:dyDescent="0.15">
      <c r="A5" s="382" t="s">
        <v>138</v>
      </c>
      <c r="B5" s="427" t="s">
        <v>6</v>
      </c>
      <c r="C5" s="160" t="s">
        <v>7</v>
      </c>
      <c r="D5" s="160" t="s">
        <v>8</v>
      </c>
      <c r="E5" s="388" t="s">
        <v>9</v>
      </c>
      <c r="F5" s="389"/>
      <c r="G5" s="389"/>
      <c r="H5" s="389"/>
      <c r="I5" s="389"/>
      <c r="J5" s="389"/>
      <c r="K5" s="389"/>
      <c r="L5" s="389"/>
      <c r="M5" s="389"/>
      <c r="N5" s="389"/>
      <c r="O5" s="389"/>
      <c r="P5" s="389"/>
      <c r="Q5" s="389"/>
      <c r="R5" s="389"/>
      <c r="S5" s="389"/>
      <c r="T5" s="389"/>
      <c r="U5" s="389"/>
      <c r="V5" s="389"/>
      <c r="W5" s="389"/>
      <c r="X5" s="389"/>
      <c r="Y5" s="389"/>
      <c r="Z5" s="389"/>
      <c r="AA5" s="389"/>
      <c r="AB5" s="389"/>
      <c r="AC5" s="389"/>
      <c r="AD5" s="389"/>
      <c r="AE5" s="389"/>
      <c r="AF5" s="389"/>
      <c r="AG5" s="389"/>
      <c r="AH5" s="389"/>
      <c r="AI5" s="389"/>
      <c r="AJ5" s="389"/>
      <c r="AK5" s="389"/>
      <c r="AL5" s="389"/>
      <c r="AM5" s="389"/>
      <c r="AN5" s="389"/>
      <c r="AO5" s="389"/>
      <c r="AP5" s="389"/>
      <c r="AQ5" s="389"/>
      <c r="AR5" s="390"/>
      <c r="AS5" s="66" t="s">
        <v>27</v>
      </c>
      <c r="AT5" s="7"/>
    </row>
    <row r="6" spans="1:61" s="8" customFormat="1" ht="27.75" customHeight="1" x14ac:dyDescent="0.15">
      <c r="A6" s="383"/>
      <c r="B6" s="398"/>
      <c r="C6" s="394" t="s">
        <v>10</v>
      </c>
      <c r="D6" s="394" t="s">
        <v>11</v>
      </c>
      <c r="E6" s="397" t="s">
        <v>22</v>
      </c>
      <c r="F6" s="397" t="s">
        <v>23</v>
      </c>
      <c r="G6" s="400" t="s">
        <v>12</v>
      </c>
      <c r="H6" s="401"/>
      <c r="I6" s="402" t="s">
        <v>13</v>
      </c>
      <c r="J6" s="403"/>
      <c r="K6" s="403"/>
      <c r="L6" s="403"/>
      <c r="M6" s="403"/>
      <c r="N6" s="403"/>
      <c r="O6" s="403"/>
      <c r="P6" s="403"/>
      <c r="Q6" s="403"/>
      <c r="R6" s="403"/>
      <c r="S6" s="404"/>
      <c r="T6" s="407" t="s">
        <v>24</v>
      </c>
      <c r="U6" s="408"/>
      <c r="V6" s="408"/>
      <c r="W6" s="408"/>
      <c r="X6" s="409"/>
      <c r="Y6" s="410"/>
      <c r="Z6" s="410"/>
      <c r="AA6" s="411"/>
      <c r="AB6" s="378" t="s">
        <v>14</v>
      </c>
      <c r="AC6" s="379"/>
      <c r="AD6" s="379"/>
      <c r="AE6" s="379"/>
      <c r="AF6" s="379"/>
      <c r="AG6" s="380"/>
      <c r="AH6" s="378" t="s">
        <v>25</v>
      </c>
      <c r="AI6" s="379"/>
      <c r="AJ6" s="379"/>
      <c r="AK6" s="378" t="s">
        <v>15</v>
      </c>
      <c r="AL6" s="379"/>
      <c r="AM6" s="380"/>
      <c r="AN6" s="19" t="s">
        <v>34</v>
      </c>
      <c r="AO6" s="378" t="s">
        <v>16</v>
      </c>
      <c r="AP6" s="379"/>
      <c r="AQ6" s="379"/>
      <c r="AR6" s="380"/>
      <c r="AS6" s="22" t="s">
        <v>32</v>
      </c>
    </row>
    <row r="7" spans="1:61" s="8" customFormat="1" ht="234" customHeight="1" x14ac:dyDescent="0.15">
      <c r="A7" s="383"/>
      <c r="B7" s="398"/>
      <c r="C7" s="395"/>
      <c r="D7" s="395"/>
      <c r="E7" s="398"/>
      <c r="F7" s="398"/>
      <c r="G7" s="138" t="s">
        <v>131</v>
      </c>
      <c r="H7" s="153" t="s">
        <v>132</v>
      </c>
      <c r="I7" s="129" t="s">
        <v>133</v>
      </c>
      <c r="J7" s="130" t="s">
        <v>134</v>
      </c>
      <c r="K7" s="141" t="s">
        <v>127</v>
      </c>
      <c r="L7" s="141" t="s">
        <v>234</v>
      </c>
      <c r="M7" s="141" t="s">
        <v>236</v>
      </c>
      <c r="N7" s="141" t="s">
        <v>241</v>
      </c>
      <c r="O7" s="139" t="s">
        <v>242</v>
      </c>
      <c r="P7" s="139" t="s">
        <v>243</v>
      </c>
      <c r="Q7" s="141" t="s">
        <v>235</v>
      </c>
      <c r="R7" s="139" t="s">
        <v>240</v>
      </c>
      <c r="S7" s="131" t="s">
        <v>128</v>
      </c>
      <c r="T7" s="414" t="s">
        <v>17</v>
      </c>
      <c r="U7" s="428" t="s">
        <v>26</v>
      </c>
      <c r="V7" s="428" t="s">
        <v>118</v>
      </c>
      <c r="W7" s="412" t="s">
        <v>245</v>
      </c>
      <c r="X7" s="412" t="s">
        <v>248</v>
      </c>
      <c r="Y7" s="428" t="s">
        <v>140</v>
      </c>
      <c r="Z7" s="405" t="s">
        <v>18</v>
      </c>
      <c r="AA7" s="430" t="s">
        <v>141</v>
      </c>
      <c r="AB7" s="414" t="s">
        <v>136</v>
      </c>
      <c r="AC7" s="428" t="s">
        <v>142</v>
      </c>
      <c r="AD7" s="412" t="s">
        <v>244</v>
      </c>
      <c r="AE7" s="405" t="s">
        <v>125</v>
      </c>
      <c r="AF7" s="405" t="s">
        <v>126</v>
      </c>
      <c r="AG7" s="430" t="s">
        <v>122</v>
      </c>
      <c r="AH7" s="414" t="s">
        <v>119</v>
      </c>
      <c r="AI7" s="412" t="s">
        <v>246</v>
      </c>
      <c r="AJ7" s="430" t="s">
        <v>123</v>
      </c>
      <c r="AK7" s="414" t="s">
        <v>120</v>
      </c>
      <c r="AL7" s="412" t="s">
        <v>247</v>
      </c>
      <c r="AM7" s="418" t="s">
        <v>114</v>
      </c>
      <c r="AN7" s="423" t="s">
        <v>19</v>
      </c>
      <c r="AO7" s="434" t="s">
        <v>121</v>
      </c>
      <c r="AP7" s="412" t="s">
        <v>145</v>
      </c>
      <c r="AQ7" s="412" t="s">
        <v>146</v>
      </c>
      <c r="AR7" s="418" t="s">
        <v>124</v>
      </c>
      <c r="AS7" s="432" t="s">
        <v>33</v>
      </c>
      <c r="AU7" s="355"/>
    </row>
    <row r="8" spans="1:61" s="8" customFormat="1" ht="22.5" customHeight="1" thickBot="1" x14ac:dyDescent="0.2">
      <c r="A8" s="384"/>
      <c r="B8" s="399"/>
      <c r="C8" s="396"/>
      <c r="D8" s="396"/>
      <c r="E8" s="399"/>
      <c r="F8" s="399"/>
      <c r="G8" s="255">
        <f>6+1</f>
        <v>7</v>
      </c>
      <c r="H8" s="157">
        <v>18</v>
      </c>
      <c r="I8" s="154">
        <v>20</v>
      </c>
      <c r="J8" s="155">
        <v>1</v>
      </c>
      <c r="K8" s="340">
        <f>76+1</f>
        <v>77</v>
      </c>
      <c r="L8" s="155">
        <f>4+1</f>
        <v>5</v>
      </c>
      <c r="M8" s="155">
        <v>1</v>
      </c>
      <c r="N8" s="155">
        <v>2</v>
      </c>
      <c r="O8" s="155">
        <v>1</v>
      </c>
      <c r="P8" s="155">
        <v>3</v>
      </c>
      <c r="Q8" s="155">
        <v>1</v>
      </c>
      <c r="R8" s="155">
        <v>5</v>
      </c>
      <c r="S8" s="156">
        <v>3</v>
      </c>
      <c r="T8" s="415"/>
      <c r="U8" s="429"/>
      <c r="V8" s="429"/>
      <c r="W8" s="413"/>
      <c r="X8" s="413"/>
      <c r="Y8" s="429"/>
      <c r="Z8" s="406"/>
      <c r="AA8" s="431"/>
      <c r="AB8" s="415"/>
      <c r="AC8" s="429"/>
      <c r="AD8" s="413"/>
      <c r="AE8" s="406"/>
      <c r="AF8" s="406"/>
      <c r="AG8" s="431"/>
      <c r="AH8" s="415"/>
      <c r="AI8" s="413"/>
      <c r="AJ8" s="431"/>
      <c r="AK8" s="415"/>
      <c r="AL8" s="413"/>
      <c r="AM8" s="419"/>
      <c r="AN8" s="424"/>
      <c r="AO8" s="435"/>
      <c r="AP8" s="413"/>
      <c r="AQ8" s="413"/>
      <c r="AR8" s="419"/>
      <c r="AS8" s="433"/>
    </row>
    <row r="9" spans="1:61" s="34" customFormat="1" ht="33.75" customHeight="1" thickTop="1" thickBot="1" x14ac:dyDescent="0.2">
      <c r="A9" s="25" t="s">
        <v>20</v>
      </c>
      <c r="B9" s="28">
        <f>SUM(C9,D9,E9,AS9)</f>
        <v>353</v>
      </c>
      <c r="C9" s="28">
        <f>SUM(C10:C19)</f>
        <v>1</v>
      </c>
      <c r="D9" s="27">
        <f>SUM(D10:D19)</f>
        <v>1</v>
      </c>
      <c r="E9" s="121">
        <f>SUM(F9:AR9)</f>
        <v>347</v>
      </c>
      <c r="F9" s="28">
        <f>SUM(F10:F19)</f>
        <v>7</v>
      </c>
      <c r="G9" s="29"/>
      <c r="H9" s="30">
        <f>SUM(H10:H19)</f>
        <v>25</v>
      </c>
      <c r="I9" s="26"/>
      <c r="J9" s="31"/>
      <c r="K9" s="31"/>
      <c r="L9" s="31"/>
      <c r="M9" s="31"/>
      <c r="N9" s="31"/>
      <c r="O9" s="31"/>
      <c r="P9" s="31"/>
      <c r="Q9" s="31"/>
      <c r="R9" s="31"/>
      <c r="S9" s="30">
        <f t="shared" ref="S9:AO9" si="0">SUM(S10:S19)</f>
        <v>119</v>
      </c>
      <c r="T9" s="32">
        <f t="shared" si="0"/>
        <v>67</v>
      </c>
      <c r="U9" s="32">
        <f t="shared" si="0"/>
        <v>6</v>
      </c>
      <c r="V9" s="32">
        <f t="shared" si="0"/>
        <v>2</v>
      </c>
      <c r="W9" s="32">
        <f t="shared" si="0"/>
        <v>1</v>
      </c>
      <c r="X9" s="32">
        <f t="shared" si="0"/>
        <v>6</v>
      </c>
      <c r="Y9" s="32">
        <f t="shared" si="0"/>
        <v>1</v>
      </c>
      <c r="Z9" s="122">
        <f t="shared" si="0"/>
        <v>2</v>
      </c>
      <c r="AA9" s="27">
        <f t="shared" si="0"/>
        <v>1</v>
      </c>
      <c r="AB9" s="256">
        <f t="shared" si="0"/>
        <v>50</v>
      </c>
      <c r="AC9" s="32">
        <f t="shared" si="0"/>
        <v>6</v>
      </c>
      <c r="AD9" s="32">
        <f t="shared" si="0"/>
        <v>1</v>
      </c>
      <c r="AE9" s="32">
        <f t="shared" si="0"/>
        <v>4</v>
      </c>
      <c r="AF9" s="32">
        <f t="shared" si="0"/>
        <v>1</v>
      </c>
      <c r="AG9" s="30">
        <f t="shared" si="0"/>
        <v>1</v>
      </c>
      <c r="AH9" s="33">
        <f t="shared" si="0"/>
        <v>27</v>
      </c>
      <c r="AI9" s="32">
        <f t="shared" si="0"/>
        <v>1</v>
      </c>
      <c r="AJ9" s="32">
        <f t="shared" si="0"/>
        <v>1</v>
      </c>
      <c r="AK9" s="33">
        <f t="shared" si="0"/>
        <v>8</v>
      </c>
      <c r="AL9" s="32">
        <f t="shared" si="0"/>
        <v>1</v>
      </c>
      <c r="AM9" s="30">
        <f t="shared" si="0"/>
        <v>4</v>
      </c>
      <c r="AN9" s="30">
        <f t="shared" si="0"/>
        <v>1</v>
      </c>
      <c r="AO9" s="33">
        <f t="shared" si="0"/>
        <v>1</v>
      </c>
      <c r="AP9" s="32">
        <f>SUM(AP10:AP19)</f>
        <v>1</v>
      </c>
      <c r="AQ9" s="32">
        <f>SUM(AQ10:AQ19)</f>
        <v>1</v>
      </c>
      <c r="AR9" s="27">
        <f>SUM(AR10:AR19)</f>
        <v>1</v>
      </c>
      <c r="AS9" s="123">
        <f>SUM(AS10:AS19)</f>
        <v>4</v>
      </c>
    </row>
    <row r="10" spans="1:61" s="7" customFormat="1" ht="32.1" customHeight="1" x14ac:dyDescent="0.15">
      <c r="A10" s="35" t="s">
        <v>35</v>
      </c>
      <c r="B10" s="50">
        <f t="shared" ref="B10" si="1">SUM(C10,D10,E10)</f>
        <v>5</v>
      </c>
      <c r="C10" s="12">
        <v>1</v>
      </c>
      <c r="D10" s="37">
        <v>1</v>
      </c>
      <c r="E10" s="12">
        <f>SUM(F10:AR10)</f>
        <v>3</v>
      </c>
      <c r="F10" s="37"/>
      <c r="G10" s="36"/>
      <c r="H10" s="51"/>
      <c r="I10" s="36"/>
      <c r="J10" s="233"/>
      <c r="K10" s="233"/>
      <c r="L10" s="233"/>
      <c r="M10" s="233"/>
      <c r="N10" s="233"/>
      <c r="O10" s="233"/>
      <c r="P10" s="233"/>
      <c r="Q10" s="233"/>
      <c r="R10" s="233"/>
      <c r="S10" s="51">
        <v>1</v>
      </c>
      <c r="T10" s="52">
        <v>1</v>
      </c>
      <c r="U10" s="52"/>
      <c r="V10" s="235"/>
      <c r="W10" s="235"/>
      <c r="X10" s="52"/>
      <c r="Y10" s="257"/>
      <c r="Z10" s="258"/>
      <c r="AA10" s="37"/>
      <c r="AB10" s="259"/>
      <c r="AC10" s="260"/>
      <c r="AD10" s="260"/>
      <c r="AE10" s="52"/>
      <c r="AF10" s="53"/>
      <c r="AG10" s="373">
        <f>1-1</f>
        <v>0</v>
      </c>
      <c r="AH10" s="261"/>
      <c r="AI10" s="259"/>
      <c r="AJ10" s="53"/>
      <c r="AK10" s="261"/>
      <c r="AL10" s="233"/>
      <c r="AM10" s="372">
        <f>0+1</f>
        <v>1</v>
      </c>
      <c r="AN10" s="51"/>
      <c r="AO10" s="261"/>
      <c r="AP10" s="259"/>
      <c r="AQ10" s="52"/>
      <c r="AR10" s="51"/>
      <c r="AS10" s="54"/>
      <c r="AU10" s="376" t="s">
        <v>270</v>
      </c>
      <c r="AV10" s="377"/>
      <c r="AW10" s="377"/>
      <c r="AX10" s="377"/>
      <c r="AY10" s="377"/>
      <c r="AZ10" s="377"/>
      <c r="BA10" s="377"/>
      <c r="BB10" s="377"/>
      <c r="BC10" s="377"/>
      <c r="BD10" s="377"/>
      <c r="BE10" s="377"/>
      <c r="BF10" s="377"/>
      <c r="BG10" s="377"/>
      <c r="BH10" s="377"/>
      <c r="BI10" s="377"/>
    </row>
    <row r="11" spans="1:61" s="7" customFormat="1" ht="32.1" customHeight="1" x14ac:dyDescent="0.15">
      <c r="A11" s="38" t="s">
        <v>36</v>
      </c>
      <c r="B11" s="18">
        <f t="shared" ref="B11:B19" si="2">E11+AS11</f>
        <v>2</v>
      </c>
      <c r="C11" s="55"/>
      <c r="D11" s="41"/>
      <c r="E11" s="12">
        <f t="shared" ref="E11:E17" si="3">SUM(F11:AR11)</f>
        <v>2</v>
      </c>
      <c r="F11" s="41">
        <v>1</v>
      </c>
      <c r="G11" s="39"/>
      <c r="H11" s="56"/>
      <c r="I11" s="39"/>
      <c r="J11" s="40"/>
      <c r="K11" s="40"/>
      <c r="L11" s="40"/>
      <c r="M11" s="40"/>
      <c r="N11" s="40"/>
      <c r="O11" s="40"/>
      <c r="P11" s="40"/>
      <c r="Q11" s="40"/>
      <c r="R11" s="40"/>
      <c r="S11" s="56"/>
      <c r="T11" s="53">
        <v>1</v>
      </c>
      <c r="U11" s="53"/>
      <c r="V11" s="235"/>
      <c r="W11" s="235"/>
      <c r="X11" s="53"/>
      <c r="Y11" s="57"/>
      <c r="Z11" s="262"/>
      <c r="AA11" s="41"/>
      <c r="AB11" s="263"/>
      <c r="AC11" s="264"/>
      <c r="AD11" s="264"/>
      <c r="AE11" s="53"/>
      <c r="AF11" s="53"/>
      <c r="AG11" s="40"/>
      <c r="AH11" s="58"/>
      <c r="AI11" s="263"/>
      <c r="AJ11" s="53"/>
      <c r="AK11" s="58"/>
      <c r="AL11" s="40"/>
      <c r="AM11" s="41"/>
      <c r="AN11" s="56"/>
      <c r="AO11" s="58"/>
      <c r="AP11" s="263"/>
      <c r="AQ11" s="53"/>
      <c r="AR11" s="56"/>
      <c r="AS11" s="59"/>
    </row>
    <row r="12" spans="1:61" s="7" customFormat="1" ht="32.1" customHeight="1" x14ac:dyDescent="0.15">
      <c r="A12" s="42" t="s">
        <v>37</v>
      </c>
      <c r="B12" s="18">
        <f t="shared" si="2"/>
        <v>9</v>
      </c>
      <c r="C12" s="55"/>
      <c r="D12" s="41"/>
      <c r="E12" s="12">
        <f t="shared" si="3"/>
        <v>9</v>
      </c>
      <c r="F12" s="41"/>
      <c r="G12" s="39"/>
      <c r="H12" s="56">
        <v>1</v>
      </c>
      <c r="I12" s="39"/>
      <c r="J12" s="40"/>
      <c r="K12" s="40"/>
      <c r="L12" s="40"/>
      <c r="M12" s="40"/>
      <c r="N12" s="40"/>
      <c r="O12" s="40"/>
      <c r="P12" s="40"/>
      <c r="Q12" s="40"/>
      <c r="R12" s="40"/>
      <c r="S12" s="56">
        <v>2</v>
      </c>
      <c r="T12" s="263">
        <f>1+1</f>
        <v>2</v>
      </c>
      <c r="U12" s="53"/>
      <c r="V12" s="235"/>
      <c r="W12" s="235"/>
      <c r="X12" s="53"/>
      <c r="Y12" s="57"/>
      <c r="Z12" s="262"/>
      <c r="AA12" s="41"/>
      <c r="AB12" s="263"/>
      <c r="AC12" s="264"/>
      <c r="AD12" s="264"/>
      <c r="AE12" s="53"/>
      <c r="AF12" s="53"/>
      <c r="AG12" s="40"/>
      <c r="AH12" s="58">
        <v>1</v>
      </c>
      <c r="AI12" s="263"/>
      <c r="AJ12" s="53"/>
      <c r="AK12" s="58"/>
      <c r="AL12" s="40"/>
      <c r="AM12" s="41"/>
      <c r="AN12" s="56"/>
      <c r="AO12" s="58"/>
      <c r="AP12" s="263">
        <v>1</v>
      </c>
      <c r="AQ12" s="53">
        <v>1</v>
      </c>
      <c r="AR12" s="56">
        <v>1</v>
      </c>
      <c r="AS12" s="59"/>
    </row>
    <row r="13" spans="1:61" s="7" customFormat="1" ht="32.1" customHeight="1" x14ac:dyDescent="0.15">
      <c r="A13" s="42" t="s">
        <v>38</v>
      </c>
      <c r="B13" s="18">
        <f t="shared" si="2"/>
        <v>23</v>
      </c>
      <c r="C13" s="55"/>
      <c r="D13" s="41"/>
      <c r="E13" s="12">
        <f t="shared" si="3"/>
        <v>23</v>
      </c>
      <c r="F13" s="41"/>
      <c r="G13" s="39"/>
      <c r="H13" s="56">
        <v>1</v>
      </c>
      <c r="I13" s="39"/>
      <c r="J13" s="40"/>
      <c r="K13" s="40"/>
      <c r="L13" s="40"/>
      <c r="M13" s="40"/>
      <c r="N13" s="40"/>
      <c r="O13" s="40"/>
      <c r="P13" s="40"/>
      <c r="Q13" s="40"/>
      <c r="R13" s="40"/>
      <c r="S13" s="56">
        <v>5</v>
      </c>
      <c r="T13" s="53">
        <v>4</v>
      </c>
      <c r="U13" s="53"/>
      <c r="V13" s="235"/>
      <c r="W13" s="235"/>
      <c r="X13" s="53"/>
      <c r="Y13" s="57">
        <v>1</v>
      </c>
      <c r="Z13" s="262"/>
      <c r="AA13" s="41"/>
      <c r="AB13" s="263">
        <v>4</v>
      </c>
      <c r="AC13" s="264"/>
      <c r="AD13" s="264"/>
      <c r="AE13" s="53"/>
      <c r="AF13" s="53"/>
      <c r="AG13" s="374">
        <f>0+1</f>
        <v>1</v>
      </c>
      <c r="AH13" s="58">
        <v>2</v>
      </c>
      <c r="AI13" s="263"/>
      <c r="AJ13" s="53"/>
      <c r="AK13" s="58">
        <v>1</v>
      </c>
      <c r="AL13" s="40"/>
      <c r="AM13" s="375">
        <f>4-1</f>
        <v>3</v>
      </c>
      <c r="AN13" s="56"/>
      <c r="AO13" s="58">
        <v>1</v>
      </c>
      <c r="AP13" s="263"/>
      <c r="AQ13" s="53"/>
      <c r="AR13" s="56"/>
      <c r="AS13" s="59"/>
      <c r="AU13" s="376" t="s">
        <v>270</v>
      </c>
      <c r="AV13" s="377"/>
      <c r="AW13" s="377"/>
      <c r="AX13" s="377"/>
      <c r="AY13" s="377"/>
      <c r="AZ13" s="377"/>
      <c r="BA13" s="377"/>
      <c r="BB13" s="377"/>
      <c r="BC13" s="377"/>
      <c r="BD13" s="377"/>
      <c r="BE13" s="377"/>
      <c r="BF13" s="377"/>
      <c r="BG13" s="377"/>
      <c r="BH13" s="377"/>
      <c r="BI13" s="377"/>
    </row>
    <row r="14" spans="1:61" s="7" customFormat="1" ht="32.1" customHeight="1" x14ac:dyDescent="0.15">
      <c r="A14" s="42" t="s">
        <v>39</v>
      </c>
      <c r="B14" s="18">
        <f t="shared" si="2"/>
        <v>62</v>
      </c>
      <c r="C14" s="55"/>
      <c r="D14" s="41"/>
      <c r="E14" s="12">
        <f t="shared" si="3"/>
        <v>62</v>
      </c>
      <c r="F14" s="58">
        <v>1</v>
      </c>
      <c r="G14" s="39"/>
      <c r="H14" s="56">
        <v>4</v>
      </c>
      <c r="I14" s="39"/>
      <c r="J14" s="40"/>
      <c r="K14" s="40"/>
      <c r="L14" s="40"/>
      <c r="M14" s="40"/>
      <c r="N14" s="40"/>
      <c r="O14" s="40"/>
      <c r="P14" s="40"/>
      <c r="Q14" s="40"/>
      <c r="R14" s="40"/>
      <c r="S14" s="343">
        <f>19+1</f>
        <v>20</v>
      </c>
      <c r="T14" s="344">
        <f>10+3</f>
        <v>13</v>
      </c>
      <c r="U14" s="263">
        <v>1</v>
      </c>
      <c r="V14" s="235"/>
      <c r="W14" s="235"/>
      <c r="X14" s="53"/>
      <c r="Y14" s="57"/>
      <c r="Z14" s="262">
        <v>2</v>
      </c>
      <c r="AA14" s="41"/>
      <c r="AB14" s="352">
        <f>8-1</f>
        <v>7</v>
      </c>
      <c r="AC14" s="53">
        <v>2</v>
      </c>
      <c r="AD14" s="53"/>
      <c r="AE14" s="53">
        <v>4</v>
      </c>
      <c r="AF14" s="53"/>
      <c r="AG14" s="40"/>
      <c r="AH14" s="58">
        <v>4</v>
      </c>
      <c r="AI14" s="263"/>
      <c r="AJ14" s="53">
        <v>1</v>
      </c>
      <c r="AK14" s="58">
        <v>3</v>
      </c>
      <c r="AL14" s="40"/>
      <c r="AM14" s="41"/>
      <c r="AN14" s="56"/>
      <c r="AO14" s="58"/>
      <c r="AP14" s="263"/>
      <c r="AQ14" s="53"/>
      <c r="AR14" s="56"/>
      <c r="AS14" s="59"/>
      <c r="AT14" s="7" t="s">
        <v>147</v>
      </c>
      <c r="AU14" s="347" t="s">
        <v>267</v>
      </c>
    </row>
    <row r="15" spans="1:61" s="7" customFormat="1" ht="32.1" customHeight="1" x14ac:dyDescent="0.15">
      <c r="A15" s="42" t="s">
        <v>67</v>
      </c>
      <c r="B15" s="18">
        <f t="shared" si="2"/>
        <v>27</v>
      </c>
      <c r="C15" s="55"/>
      <c r="D15" s="41"/>
      <c r="E15" s="12">
        <f t="shared" si="3"/>
        <v>27</v>
      </c>
      <c r="F15" s="40">
        <v>1</v>
      </c>
      <c r="G15" s="39"/>
      <c r="H15" s="56">
        <v>2</v>
      </c>
      <c r="I15" s="39"/>
      <c r="J15" s="40"/>
      <c r="K15" s="40"/>
      <c r="L15" s="40"/>
      <c r="M15" s="40"/>
      <c r="N15" s="40"/>
      <c r="O15" s="40"/>
      <c r="P15" s="40"/>
      <c r="Q15" s="40"/>
      <c r="R15" s="40"/>
      <c r="S15" s="56">
        <f>10+1</f>
        <v>11</v>
      </c>
      <c r="T15" s="53">
        <v>6</v>
      </c>
      <c r="U15" s="263"/>
      <c r="V15" s="235"/>
      <c r="W15" s="235"/>
      <c r="X15" s="53">
        <v>1</v>
      </c>
      <c r="Y15" s="57"/>
      <c r="Z15" s="262"/>
      <c r="AA15" s="41"/>
      <c r="AB15" s="263">
        <v>5</v>
      </c>
      <c r="AC15" s="53"/>
      <c r="AD15" s="53"/>
      <c r="AE15" s="53"/>
      <c r="AF15" s="53"/>
      <c r="AG15" s="56"/>
      <c r="AH15" s="58"/>
      <c r="AI15" s="263"/>
      <c r="AJ15" s="53"/>
      <c r="AK15" s="58">
        <v>1</v>
      </c>
      <c r="AL15" s="40"/>
      <c r="AM15" s="41"/>
      <c r="AN15" s="56"/>
      <c r="AO15" s="58"/>
      <c r="AP15" s="263"/>
      <c r="AQ15" s="53"/>
      <c r="AR15" s="56"/>
      <c r="AS15" s="59"/>
      <c r="AU15" s="70"/>
    </row>
    <row r="16" spans="1:61" s="7" customFormat="1" ht="32.1" customHeight="1" x14ac:dyDescent="0.15">
      <c r="A16" s="42" t="s">
        <v>21</v>
      </c>
      <c r="B16" s="18">
        <f t="shared" si="2"/>
        <v>73</v>
      </c>
      <c r="C16" s="55"/>
      <c r="D16" s="41"/>
      <c r="E16" s="12">
        <f t="shared" si="3"/>
        <v>73</v>
      </c>
      <c r="F16" s="41">
        <v>1</v>
      </c>
      <c r="G16" s="39"/>
      <c r="H16" s="56">
        <v>5</v>
      </c>
      <c r="I16" s="39"/>
      <c r="J16" s="40"/>
      <c r="K16" s="40"/>
      <c r="L16" s="40"/>
      <c r="M16" s="40"/>
      <c r="N16" s="40"/>
      <c r="O16" s="40"/>
      <c r="P16" s="40"/>
      <c r="Q16" s="40"/>
      <c r="R16" s="40"/>
      <c r="S16" s="56">
        <f>23+1</f>
        <v>24</v>
      </c>
      <c r="T16" s="354">
        <f>17+1</f>
        <v>18</v>
      </c>
      <c r="U16" s="53">
        <v>2</v>
      </c>
      <c r="V16" s="235"/>
      <c r="W16" s="235"/>
      <c r="X16" s="53">
        <v>2</v>
      </c>
      <c r="Y16" s="57"/>
      <c r="Z16" s="262"/>
      <c r="AA16" s="41"/>
      <c r="AB16" s="58">
        <f>10-1+1</f>
        <v>10</v>
      </c>
      <c r="AC16" s="53">
        <v>1</v>
      </c>
      <c r="AD16" s="53"/>
      <c r="AE16" s="53"/>
      <c r="AF16" s="53"/>
      <c r="AG16" s="56"/>
      <c r="AH16" s="58">
        <f>6+1+1</f>
        <v>8</v>
      </c>
      <c r="AI16" s="263"/>
      <c r="AJ16" s="53"/>
      <c r="AK16" s="58">
        <v>1</v>
      </c>
      <c r="AL16" s="40"/>
      <c r="AM16" s="41"/>
      <c r="AN16" s="56">
        <v>1</v>
      </c>
      <c r="AO16" s="58"/>
      <c r="AP16" s="263"/>
      <c r="AQ16" s="53"/>
      <c r="AR16" s="56"/>
      <c r="AS16" s="59"/>
      <c r="AT16" s="7" t="s">
        <v>148</v>
      </c>
      <c r="AU16" s="376" t="s">
        <v>269</v>
      </c>
      <c r="AV16" s="377"/>
      <c r="AW16" s="377"/>
      <c r="AX16" s="377"/>
      <c r="AY16" s="377"/>
      <c r="AZ16" s="377"/>
      <c r="BA16" s="377"/>
      <c r="BB16" s="377"/>
      <c r="BC16" s="377"/>
      <c r="BD16" s="377"/>
      <c r="BE16" s="377"/>
      <c r="BF16" s="377"/>
      <c r="BG16" s="377"/>
      <c r="BH16" s="377"/>
      <c r="BI16" s="377"/>
    </row>
    <row r="17" spans="1:61" s="7" customFormat="1" ht="32.1" customHeight="1" x14ac:dyDescent="0.15">
      <c r="A17" s="42" t="s">
        <v>68</v>
      </c>
      <c r="B17" s="18">
        <f t="shared" si="2"/>
        <v>52</v>
      </c>
      <c r="C17" s="55"/>
      <c r="D17" s="41"/>
      <c r="E17" s="12">
        <f t="shared" si="3"/>
        <v>52</v>
      </c>
      <c r="F17" s="41">
        <v>1</v>
      </c>
      <c r="G17" s="39"/>
      <c r="H17" s="56">
        <v>3</v>
      </c>
      <c r="I17" s="39"/>
      <c r="J17" s="40"/>
      <c r="K17" s="40"/>
      <c r="L17" s="40"/>
      <c r="M17" s="40"/>
      <c r="N17" s="40"/>
      <c r="O17" s="40"/>
      <c r="P17" s="40"/>
      <c r="Q17" s="40"/>
      <c r="R17" s="40"/>
      <c r="S17" s="56">
        <f>21+1</f>
        <v>22</v>
      </c>
      <c r="T17" s="353">
        <f>11-1-1</f>
        <v>9</v>
      </c>
      <c r="U17" s="53">
        <v>1</v>
      </c>
      <c r="V17" s="235"/>
      <c r="W17" s="235"/>
      <c r="X17" s="53"/>
      <c r="Y17" s="57"/>
      <c r="Z17" s="262"/>
      <c r="AA17" s="41"/>
      <c r="AB17" s="263">
        <v>11</v>
      </c>
      <c r="AC17" s="53">
        <v>2</v>
      </c>
      <c r="AD17" s="53"/>
      <c r="AE17" s="53"/>
      <c r="AF17" s="53"/>
      <c r="AG17" s="56"/>
      <c r="AH17" s="58">
        <v>2</v>
      </c>
      <c r="AI17" s="263"/>
      <c r="AJ17" s="53"/>
      <c r="AK17" s="58">
        <v>1</v>
      </c>
      <c r="AL17" s="40"/>
      <c r="AM17" s="41"/>
      <c r="AN17" s="56"/>
      <c r="AO17" s="58"/>
      <c r="AP17" s="263"/>
      <c r="AQ17" s="53"/>
      <c r="AR17" s="56"/>
      <c r="AS17" s="59"/>
      <c r="AU17" s="376" t="s">
        <v>269</v>
      </c>
      <c r="AV17" s="377"/>
      <c r="AW17" s="377"/>
      <c r="AX17" s="377"/>
      <c r="AY17" s="377"/>
      <c r="AZ17" s="377"/>
      <c r="BA17" s="377"/>
      <c r="BB17" s="377"/>
      <c r="BC17" s="377"/>
      <c r="BD17" s="377"/>
      <c r="BE17" s="377"/>
      <c r="BF17" s="377"/>
      <c r="BG17" s="377"/>
      <c r="BH17" s="377"/>
      <c r="BI17" s="377"/>
    </row>
    <row r="18" spans="1:61" s="7" customFormat="1" ht="32.1" customHeight="1" x14ac:dyDescent="0.15">
      <c r="A18" s="43" t="s">
        <v>69</v>
      </c>
      <c r="B18" s="18">
        <f t="shared" si="2"/>
        <v>44</v>
      </c>
      <c r="C18" s="60"/>
      <c r="D18" s="45"/>
      <c r="E18" s="12">
        <f>SUM(F18:AR18)</f>
        <v>44</v>
      </c>
      <c r="F18" s="45">
        <v>1</v>
      </c>
      <c r="G18" s="44"/>
      <c r="H18" s="119">
        <v>5</v>
      </c>
      <c r="I18" s="44"/>
      <c r="J18" s="244"/>
      <c r="K18" s="244"/>
      <c r="L18" s="244"/>
      <c r="M18" s="244"/>
      <c r="N18" s="244"/>
      <c r="O18" s="244"/>
      <c r="P18" s="244"/>
      <c r="Q18" s="244"/>
      <c r="R18" s="244"/>
      <c r="S18" s="56">
        <v>16</v>
      </c>
      <c r="T18" s="61">
        <f>7+1</f>
        <v>8</v>
      </c>
      <c r="U18" s="61">
        <v>0</v>
      </c>
      <c r="V18" s="235"/>
      <c r="W18" s="265"/>
      <c r="X18" s="61">
        <v>3</v>
      </c>
      <c r="Y18" s="266"/>
      <c r="Z18" s="267"/>
      <c r="AA18" s="45">
        <v>0</v>
      </c>
      <c r="AB18" s="268">
        <v>7</v>
      </c>
      <c r="AC18" s="61">
        <v>1</v>
      </c>
      <c r="AD18" s="61"/>
      <c r="AE18" s="61"/>
      <c r="AF18" s="53">
        <v>0</v>
      </c>
      <c r="AG18" s="119"/>
      <c r="AH18" s="269">
        <v>3</v>
      </c>
      <c r="AI18" s="268"/>
      <c r="AJ18" s="53"/>
      <c r="AK18" s="269"/>
      <c r="AL18" s="244"/>
      <c r="AM18" s="45"/>
      <c r="AN18" s="119"/>
      <c r="AO18" s="269"/>
      <c r="AP18" s="268"/>
      <c r="AQ18" s="61"/>
      <c r="AR18" s="119"/>
      <c r="AS18" s="62"/>
      <c r="AT18" s="7" t="s">
        <v>149</v>
      </c>
      <c r="AU18" s="70"/>
    </row>
    <row r="19" spans="1:61" s="7" customFormat="1" ht="32.1" customHeight="1" thickBot="1" x14ac:dyDescent="0.2">
      <c r="A19" s="46" t="s">
        <v>97</v>
      </c>
      <c r="B19" s="124">
        <f t="shared" si="2"/>
        <v>56</v>
      </c>
      <c r="C19" s="63"/>
      <c r="D19" s="48"/>
      <c r="E19" s="125">
        <f>SUM(F19:AR19)</f>
        <v>52</v>
      </c>
      <c r="F19" s="48">
        <v>1</v>
      </c>
      <c r="G19" s="47"/>
      <c r="H19" s="48">
        <f>3+1</f>
        <v>4</v>
      </c>
      <c r="I19" s="47"/>
      <c r="J19" s="249"/>
      <c r="K19" s="249"/>
      <c r="L19" s="249"/>
      <c r="M19" s="249"/>
      <c r="N19" s="249"/>
      <c r="O19" s="249"/>
      <c r="P19" s="249"/>
      <c r="Q19" s="249"/>
      <c r="R19" s="249"/>
      <c r="S19" s="64">
        <f>15+2+1</f>
        <v>18</v>
      </c>
      <c r="T19" s="270">
        <f>6-1</f>
        <v>5</v>
      </c>
      <c r="U19" s="65">
        <v>2</v>
      </c>
      <c r="V19" s="250">
        <v>2</v>
      </c>
      <c r="W19" s="250">
        <v>1</v>
      </c>
      <c r="X19" s="65"/>
      <c r="Y19" s="271"/>
      <c r="Z19" s="272"/>
      <c r="AA19" s="48">
        <v>1</v>
      </c>
      <c r="AB19" s="356">
        <f>4+1+1</f>
        <v>6</v>
      </c>
      <c r="AC19" s="270"/>
      <c r="AD19" s="65">
        <f>0+1</f>
        <v>1</v>
      </c>
      <c r="AE19" s="65"/>
      <c r="AF19" s="65">
        <v>1</v>
      </c>
      <c r="AG19" s="64"/>
      <c r="AH19" s="273">
        <f>8-1</f>
        <v>7</v>
      </c>
      <c r="AI19" s="270">
        <f>0+1</f>
        <v>1</v>
      </c>
      <c r="AJ19" s="65"/>
      <c r="AK19" s="273">
        <f>2-1</f>
        <v>1</v>
      </c>
      <c r="AL19" s="249">
        <f>0+1</f>
        <v>1</v>
      </c>
      <c r="AM19" s="48"/>
      <c r="AN19" s="64"/>
      <c r="AO19" s="273"/>
      <c r="AP19" s="270"/>
      <c r="AQ19" s="65"/>
      <c r="AR19" s="64"/>
      <c r="AS19" s="126">
        <v>4</v>
      </c>
      <c r="AT19" s="7" t="s">
        <v>150</v>
      </c>
      <c r="AU19" s="376" t="s">
        <v>268</v>
      </c>
      <c r="AV19" s="377"/>
      <c r="AW19" s="377"/>
      <c r="AX19" s="377"/>
      <c r="AY19" s="377"/>
      <c r="AZ19" s="377"/>
      <c r="BA19" s="377"/>
      <c r="BB19" s="377"/>
      <c r="BC19" s="377"/>
      <c r="BD19" s="377"/>
      <c r="BE19" s="377"/>
      <c r="BF19" s="377"/>
      <c r="BG19" s="377"/>
      <c r="BH19" s="377"/>
      <c r="BI19" s="377"/>
    </row>
    <row r="20" spans="1:61" ht="23.25" customHeight="1" x14ac:dyDescent="0.15"/>
    <row r="21" spans="1:61" s="9" customFormat="1" ht="30" customHeight="1" x14ac:dyDescent="0.15">
      <c r="B21" s="10"/>
      <c r="E21" s="10"/>
      <c r="AA21" s="167"/>
      <c r="AC21" s="11"/>
      <c r="AD21" s="11"/>
    </row>
    <row r="22" spans="1:61" s="9" customFormat="1" ht="30" customHeight="1" x14ac:dyDescent="0.15">
      <c r="B22" s="10"/>
      <c r="E22" s="10"/>
      <c r="AC22" s="11"/>
      <c r="AD22" s="11"/>
    </row>
    <row r="23" spans="1:61" s="9" customFormat="1" ht="30" customHeight="1" x14ac:dyDescent="0.15">
      <c r="B23" s="10"/>
      <c r="E23" s="10"/>
      <c r="AC23" s="11"/>
      <c r="AD23" s="11"/>
    </row>
    <row r="24" spans="1:61" s="9" customFormat="1" ht="30" customHeight="1" x14ac:dyDescent="0.15">
      <c r="B24" s="10"/>
      <c r="E24" s="10"/>
      <c r="AC24" s="11"/>
      <c r="AD24" s="11"/>
    </row>
    <row r="25" spans="1:61" s="9" customFormat="1" ht="30" customHeight="1" x14ac:dyDescent="0.15">
      <c r="B25" s="10"/>
      <c r="E25" s="10"/>
      <c r="AC25" s="11"/>
      <c r="AD25" s="11"/>
    </row>
    <row r="26" spans="1:61" s="9" customFormat="1" ht="30" customHeight="1" x14ac:dyDescent="0.15">
      <c r="B26" s="10"/>
      <c r="E26" s="10"/>
      <c r="AC26" s="11"/>
      <c r="AD26" s="11"/>
    </row>
    <row r="27" spans="1:61" s="9" customFormat="1" ht="30" customHeight="1" x14ac:dyDescent="0.15">
      <c r="B27" s="10"/>
      <c r="E27" s="10"/>
      <c r="AC27" s="11"/>
      <c r="AD27" s="11"/>
    </row>
    <row r="28" spans="1:61" s="9" customFormat="1" ht="30" customHeight="1" x14ac:dyDescent="0.15">
      <c r="B28" s="10"/>
      <c r="E28" s="10"/>
      <c r="AC28" s="11"/>
      <c r="AD28" s="11"/>
    </row>
    <row r="29" spans="1:61" s="9" customFormat="1" ht="30" customHeight="1" x14ac:dyDescent="0.15">
      <c r="B29" s="10"/>
      <c r="E29" s="10"/>
      <c r="AC29" s="11"/>
      <c r="AD29" s="11"/>
    </row>
    <row r="30" spans="1:61" s="9" customFormat="1" ht="30" customHeight="1" x14ac:dyDescent="0.15">
      <c r="B30" s="10"/>
      <c r="E30" s="10"/>
      <c r="AC30" s="11"/>
      <c r="AD30" s="11"/>
    </row>
    <row r="31" spans="1:61" s="9" customFormat="1" ht="30" customHeight="1" x14ac:dyDescent="0.15">
      <c r="B31" s="10"/>
      <c r="E31" s="10"/>
      <c r="AC31" s="11"/>
      <c r="AD31" s="11"/>
    </row>
    <row r="32" spans="1:61" s="9" customFormat="1" ht="30" customHeight="1" x14ac:dyDescent="0.15">
      <c r="B32" s="10"/>
      <c r="E32" s="10"/>
      <c r="AC32" s="11"/>
      <c r="AD32" s="11"/>
    </row>
    <row r="33" spans="2:30" s="9" customFormat="1" ht="30" customHeight="1" x14ac:dyDescent="0.15">
      <c r="B33" s="10"/>
      <c r="E33" s="10"/>
      <c r="AC33" s="11"/>
      <c r="AD33" s="11"/>
    </row>
    <row r="34" spans="2:30" s="9" customFormat="1" ht="30" customHeight="1" x14ac:dyDescent="0.15">
      <c r="B34" s="10"/>
      <c r="E34" s="10"/>
      <c r="AC34" s="11"/>
      <c r="AD34" s="11"/>
    </row>
    <row r="35" spans="2:30" s="9" customFormat="1" ht="30" customHeight="1" x14ac:dyDescent="0.15">
      <c r="B35" s="10"/>
      <c r="E35" s="10"/>
      <c r="AC35" s="11"/>
      <c r="AD35" s="11"/>
    </row>
    <row r="36" spans="2:30" s="9" customFormat="1" ht="30" customHeight="1" x14ac:dyDescent="0.15">
      <c r="B36" s="10"/>
      <c r="E36" s="10"/>
      <c r="AC36" s="11"/>
      <c r="AD36" s="11"/>
    </row>
    <row r="37" spans="2:30" s="9" customFormat="1" ht="30" customHeight="1" x14ac:dyDescent="0.15">
      <c r="B37" s="10"/>
      <c r="E37" s="10"/>
      <c r="AC37" s="11"/>
      <c r="AD37" s="11"/>
    </row>
    <row r="38" spans="2:30" s="9" customFormat="1" ht="30" customHeight="1" x14ac:dyDescent="0.15">
      <c r="B38" s="10"/>
      <c r="E38" s="10"/>
      <c r="AC38" s="11"/>
      <c r="AD38" s="11"/>
    </row>
    <row r="39" spans="2:30" s="9" customFormat="1" ht="30" customHeight="1" x14ac:dyDescent="0.15">
      <c r="B39" s="10"/>
      <c r="E39" s="10"/>
      <c r="AC39" s="11"/>
      <c r="AD39" s="11"/>
    </row>
    <row r="40" spans="2:30" s="9" customFormat="1" ht="30" customHeight="1" x14ac:dyDescent="0.15">
      <c r="B40" s="10"/>
      <c r="E40" s="10"/>
      <c r="AC40" s="11"/>
      <c r="AD40" s="11"/>
    </row>
    <row r="41" spans="2:30" s="9" customFormat="1" ht="30" customHeight="1" x14ac:dyDescent="0.15">
      <c r="B41" s="10"/>
      <c r="E41" s="10"/>
      <c r="AC41" s="11"/>
      <c r="AD41" s="11"/>
    </row>
    <row r="42" spans="2:30" s="9" customFormat="1" ht="30" customHeight="1" x14ac:dyDescent="0.15">
      <c r="B42" s="10"/>
      <c r="E42" s="10"/>
      <c r="AC42" s="11"/>
      <c r="AD42" s="11"/>
    </row>
    <row r="43" spans="2:30" s="9" customFormat="1" ht="30" customHeight="1" x14ac:dyDescent="0.15">
      <c r="B43" s="10"/>
      <c r="E43" s="10"/>
      <c r="AC43" s="11"/>
      <c r="AD43" s="11"/>
    </row>
    <row r="44" spans="2:30" s="9" customFormat="1" ht="30" customHeight="1" x14ac:dyDescent="0.15">
      <c r="B44" s="10"/>
      <c r="E44" s="10"/>
      <c r="AC44" s="11"/>
      <c r="AD44" s="11"/>
    </row>
    <row r="45" spans="2:30" s="9" customFormat="1" ht="30" customHeight="1" x14ac:dyDescent="0.15">
      <c r="B45" s="10"/>
      <c r="E45" s="10"/>
      <c r="AC45" s="11"/>
      <c r="AD45" s="11"/>
    </row>
    <row r="46" spans="2:30" s="9" customFormat="1" ht="30" customHeight="1" x14ac:dyDescent="0.15">
      <c r="B46" s="10"/>
      <c r="E46" s="10"/>
      <c r="AC46" s="11"/>
      <c r="AD46" s="11"/>
    </row>
    <row r="47" spans="2:30" s="9" customFormat="1" ht="30" customHeight="1" x14ac:dyDescent="0.15">
      <c r="B47" s="10"/>
      <c r="E47" s="10"/>
      <c r="AC47" s="11"/>
      <c r="AD47" s="11"/>
    </row>
    <row r="48" spans="2:30" s="9" customFormat="1" ht="30" customHeight="1" x14ac:dyDescent="0.15">
      <c r="B48" s="10"/>
      <c r="E48" s="10"/>
      <c r="AC48" s="11"/>
      <c r="AD48" s="11"/>
    </row>
    <row r="49" spans="2:30" s="9" customFormat="1" ht="30" customHeight="1" x14ac:dyDescent="0.15">
      <c r="B49" s="10"/>
      <c r="E49" s="10"/>
      <c r="AC49" s="11"/>
      <c r="AD49" s="11"/>
    </row>
    <row r="50" spans="2:30" s="9" customFormat="1" ht="30" customHeight="1" x14ac:dyDescent="0.15">
      <c r="B50" s="10"/>
      <c r="E50" s="10"/>
      <c r="AC50" s="11"/>
      <c r="AD50" s="11"/>
    </row>
    <row r="51" spans="2:30" s="9" customFormat="1" ht="30" customHeight="1" x14ac:dyDescent="0.15">
      <c r="B51" s="10"/>
      <c r="E51" s="10"/>
      <c r="AC51" s="11"/>
      <c r="AD51" s="11"/>
    </row>
    <row r="52" spans="2:30" s="9" customFormat="1" ht="30" customHeight="1" x14ac:dyDescent="0.15">
      <c r="B52" s="10"/>
      <c r="E52" s="10"/>
      <c r="AC52" s="11"/>
      <c r="AD52" s="11"/>
    </row>
    <row r="53" spans="2:30" s="9" customFormat="1" ht="30" customHeight="1" x14ac:dyDescent="0.15">
      <c r="B53" s="10"/>
      <c r="E53" s="10"/>
      <c r="AC53" s="11"/>
      <c r="AD53" s="11"/>
    </row>
    <row r="54" spans="2:30" s="9" customFormat="1" ht="30" customHeight="1" x14ac:dyDescent="0.15">
      <c r="B54" s="10"/>
      <c r="E54" s="10"/>
      <c r="AC54" s="11"/>
      <c r="AD54" s="11"/>
    </row>
    <row r="55" spans="2:30" s="9" customFormat="1" ht="30" customHeight="1" x14ac:dyDescent="0.15">
      <c r="B55" s="10"/>
      <c r="E55" s="10"/>
      <c r="AC55" s="11"/>
      <c r="AD55" s="11"/>
    </row>
    <row r="56" spans="2:30" s="9" customFormat="1" ht="30" customHeight="1" x14ac:dyDescent="0.15">
      <c r="B56" s="10"/>
      <c r="E56" s="10"/>
      <c r="AC56" s="11"/>
      <c r="AD56" s="11"/>
    </row>
    <row r="57" spans="2:30" s="9" customFormat="1" ht="30" customHeight="1" x14ac:dyDescent="0.15">
      <c r="B57" s="10"/>
      <c r="E57" s="10"/>
      <c r="AC57" s="11"/>
      <c r="AD57" s="11"/>
    </row>
    <row r="58" spans="2:30" s="9" customFormat="1" ht="30" customHeight="1" x14ac:dyDescent="0.15">
      <c r="B58" s="10"/>
      <c r="E58" s="10"/>
      <c r="AC58" s="11"/>
      <c r="AD58" s="11"/>
    </row>
    <row r="59" spans="2:30" s="9" customFormat="1" ht="30" customHeight="1" x14ac:dyDescent="0.15">
      <c r="B59" s="10"/>
      <c r="E59" s="10"/>
      <c r="AC59" s="11"/>
      <c r="AD59" s="11"/>
    </row>
    <row r="60" spans="2:30" s="9" customFormat="1" ht="30" customHeight="1" x14ac:dyDescent="0.15">
      <c r="B60" s="10"/>
      <c r="E60" s="10"/>
      <c r="AC60" s="11"/>
      <c r="AD60" s="11"/>
    </row>
    <row r="61" spans="2:30" s="9" customFormat="1" ht="30" customHeight="1" x14ac:dyDescent="0.15">
      <c r="B61" s="10"/>
      <c r="E61" s="10"/>
      <c r="AC61" s="11"/>
      <c r="AD61" s="11"/>
    </row>
    <row r="62" spans="2:30" s="9" customFormat="1" ht="30" customHeight="1" x14ac:dyDescent="0.15">
      <c r="B62" s="10"/>
      <c r="E62" s="10"/>
      <c r="AC62" s="11"/>
      <c r="AD62" s="11"/>
    </row>
    <row r="63" spans="2:30" ht="30" customHeight="1" x14ac:dyDescent="0.15"/>
    <row r="64" spans="2:30" ht="30" customHeight="1" x14ac:dyDescent="0.15"/>
    <row r="65" ht="30" customHeight="1" x14ac:dyDescent="0.15"/>
    <row r="66" ht="30" customHeight="1" x14ac:dyDescent="0.15"/>
    <row r="67" ht="30" customHeight="1" x14ac:dyDescent="0.15"/>
    <row r="68" ht="30" customHeight="1" x14ac:dyDescent="0.15"/>
    <row r="69" ht="30" customHeight="1" x14ac:dyDescent="0.15"/>
    <row r="70" ht="30" customHeight="1" x14ac:dyDescent="0.15"/>
    <row r="71" ht="30" customHeight="1" x14ac:dyDescent="0.15"/>
    <row r="72" ht="30" customHeight="1" x14ac:dyDescent="0.15"/>
    <row r="73" ht="30" customHeight="1" x14ac:dyDescent="0.15"/>
    <row r="74" ht="30" customHeight="1" x14ac:dyDescent="0.15"/>
    <row r="75" ht="30" customHeight="1" x14ac:dyDescent="0.15"/>
    <row r="76" ht="30" customHeight="1" x14ac:dyDescent="0.15"/>
    <row r="77" ht="30" customHeight="1" x14ac:dyDescent="0.15"/>
    <row r="78" ht="30" customHeight="1" x14ac:dyDescent="0.15"/>
    <row r="79" ht="30" customHeight="1" x14ac:dyDescent="0.15"/>
    <row r="80" ht="30" customHeight="1" x14ac:dyDescent="0.15"/>
  </sheetData>
  <mergeCells count="46">
    <mergeCell ref="AU16:BI16"/>
    <mergeCell ref="AU17:BI17"/>
    <mergeCell ref="AU19:BI19"/>
    <mergeCell ref="AS7:AS8"/>
    <mergeCell ref="AK7:AK8"/>
    <mergeCell ref="AL7:AL8"/>
    <mergeCell ref="AM7:AM8"/>
    <mergeCell ref="AN7:AN8"/>
    <mergeCell ref="AO7:AO8"/>
    <mergeCell ref="AP7:AP8"/>
    <mergeCell ref="AQ7:AQ8"/>
    <mergeCell ref="AR7:AR8"/>
    <mergeCell ref="AU10:BI10"/>
    <mergeCell ref="AU13:BI13"/>
    <mergeCell ref="Y7:Y8"/>
    <mergeCell ref="Z7:Z8"/>
    <mergeCell ref="AA7:AA8"/>
    <mergeCell ref="AB7:AB8"/>
    <mergeCell ref="AC7:AC8"/>
    <mergeCell ref="AB6:AG6"/>
    <mergeCell ref="AH6:AJ6"/>
    <mergeCell ref="AK6:AM6"/>
    <mergeCell ref="AO6:AR6"/>
    <mergeCell ref="AJ7:AJ8"/>
    <mergeCell ref="AD7:AD8"/>
    <mergeCell ref="AE7:AE8"/>
    <mergeCell ref="AF7:AF8"/>
    <mergeCell ref="AG7:AG8"/>
    <mergeCell ref="AH7:AH8"/>
    <mergeCell ref="AI7:AI8"/>
    <mergeCell ref="A3:AS3"/>
    <mergeCell ref="A5:A8"/>
    <mergeCell ref="B5:B8"/>
    <mergeCell ref="E5:AR5"/>
    <mergeCell ref="C6:C8"/>
    <mergeCell ref="D6:D8"/>
    <mergeCell ref="E6:E8"/>
    <mergeCell ref="F6:F8"/>
    <mergeCell ref="G6:H6"/>
    <mergeCell ref="I6:S6"/>
    <mergeCell ref="T7:T8"/>
    <mergeCell ref="U7:U8"/>
    <mergeCell ref="V7:V8"/>
    <mergeCell ref="W7:W8"/>
    <mergeCell ref="X7:X8"/>
    <mergeCell ref="T6:AA6"/>
  </mergeCells>
  <phoneticPr fontId="2" type="noConversion"/>
  <printOptions horizontalCentered="1"/>
  <pageMargins left="0.15748031496062992" right="0" top="0.19685039370078741" bottom="0" header="0.51181102362204722" footer="0.51181102362204722"/>
  <pageSetup paperSize="9" scale="58" orientation="landscape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L39"/>
  <sheetViews>
    <sheetView view="pageBreakPreview" zoomScale="55" zoomScaleNormal="55" zoomScaleSheetLayoutView="55" workbookViewId="0">
      <selection activeCell="A4" sqref="A4:A6"/>
    </sheetView>
  </sheetViews>
  <sheetFormatPr defaultColWidth="4.77734375" defaultRowHeight="12" x14ac:dyDescent="0.15"/>
  <cols>
    <col min="1" max="1" width="26.21875" style="14" bestFit="1" customWidth="1"/>
    <col min="2" max="3" width="7.5546875" style="14" bestFit="1" customWidth="1"/>
    <col min="4" max="4" width="5" style="14" bestFit="1" customWidth="1"/>
    <col min="5" max="5" width="4.44140625" style="14" bestFit="1" customWidth="1"/>
    <col min="6" max="8" width="3.5546875" style="14" customWidth="1"/>
    <col min="9" max="11" width="5.21875" style="14" bestFit="1" customWidth="1"/>
    <col min="12" max="13" width="4.6640625" style="14" bestFit="1" customWidth="1"/>
    <col min="14" max="14" width="4.6640625" style="14" customWidth="1"/>
    <col min="15" max="15" width="3.5546875" style="14" customWidth="1"/>
    <col min="16" max="16" width="5.21875" style="14" bestFit="1" customWidth="1"/>
    <col min="17" max="17" width="5.77734375" style="14" customWidth="1"/>
    <col min="18" max="18" width="3.5546875" style="14" customWidth="1"/>
    <col min="19" max="19" width="4.6640625" style="14" bestFit="1" customWidth="1"/>
    <col min="20" max="20" width="4.6640625" style="14" customWidth="1"/>
    <col min="21" max="21" width="4.6640625" style="14" bestFit="1" customWidth="1"/>
    <col min="22" max="22" width="3.5546875" style="14" bestFit="1" customWidth="1"/>
    <col min="23" max="23" width="4.6640625" style="14" bestFit="1" customWidth="1"/>
    <col min="24" max="24" width="3.5546875" style="14" customWidth="1"/>
    <col min="25" max="25" width="5.77734375" style="14" bestFit="1" customWidth="1"/>
    <col min="26" max="26" width="3.5546875" style="14" bestFit="1" customWidth="1"/>
    <col min="27" max="29" width="3.5546875" style="20" bestFit="1" customWidth="1"/>
    <col min="30" max="32" width="3.5546875" style="14" customWidth="1"/>
    <col min="33" max="33" width="4.6640625" style="14" bestFit="1" customWidth="1"/>
    <col min="34" max="35" width="3.5546875" style="14" customWidth="1"/>
    <col min="36" max="36" width="4.6640625" style="14" bestFit="1" customWidth="1"/>
    <col min="37" max="37" width="3.5546875" style="14" customWidth="1"/>
    <col min="38" max="38" width="4.6640625" style="14" bestFit="1" customWidth="1"/>
    <col min="39" max="39" width="5.77734375" style="14" customWidth="1"/>
    <col min="40" max="40" width="3.5546875" style="14" bestFit="1" customWidth="1"/>
    <col min="41" max="41" width="3.5546875" style="14" customWidth="1"/>
    <col min="42" max="42" width="4.6640625" style="14" bestFit="1" customWidth="1"/>
    <col min="43" max="44" width="3.5546875" style="14" customWidth="1"/>
    <col min="45" max="45" width="4.6640625" style="14" bestFit="1" customWidth="1"/>
    <col min="46" max="46" width="3.5546875" style="14" customWidth="1"/>
    <col min="47" max="47" width="5.77734375" style="14" customWidth="1"/>
    <col min="48" max="48" width="4.6640625" style="14" bestFit="1" customWidth="1"/>
    <col min="49" max="49" width="3.5546875" style="14" customWidth="1"/>
    <col min="50" max="51" width="4.6640625" style="14" bestFit="1" customWidth="1"/>
    <col min="52" max="53" width="3.5546875" style="14" customWidth="1"/>
    <col min="54" max="54" width="4.6640625" style="14" bestFit="1" customWidth="1"/>
    <col min="55" max="56" width="3.5546875" style="14" customWidth="1"/>
    <col min="57" max="57" width="4.6640625" style="14" bestFit="1" customWidth="1"/>
    <col min="58" max="61" width="3.5546875" style="14" customWidth="1"/>
    <col min="62" max="62" width="6.6640625" style="14" bestFit="1" customWidth="1"/>
    <col min="63" max="64" width="4.77734375" style="14" customWidth="1"/>
    <col min="65" max="16384" width="4.77734375" style="14"/>
  </cols>
  <sheetData>
    <row r="1" spans="1:90" ht="16.5" customHeight="1" x14ac:dyDescent="0.2">
      <c r="A1" s="13" t="s">
        <v>28</v>
      </c>
    </row>
    <row r="2" spans="1:90" s="15" customFormat="1" ht="30" customHeight="1" x14ac:dyDescent="0.15">
      <c r="A2" s="444" t="s">
        <v>29</v>
      </c>
      <c r="B2" s="444"/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  <c r="AM2" s="444"/>
      <c r="AN2" s="444"/>
      <c r="AO2" s="444"/>
      <c r="AP2" s="444"/>
      <c r="AQ2" s="444"/>
      <c r="AR2" s="444"/>
      <c r="AS2" s="444"/>
      <c r="AT2" s="444"/>
      <c r="AU2" s="444"/>
      <c r="AV2" s="444"/>
      <c r="AW2" s="444"/>
      <c r="AX2" s="444"/>
      <c r="AY2" s="444"/>
      <c r="AZ2" s="444"/>
      <c r="BA2" s="444"/>
      <c r="BB2" s="444"/>
      <c r="BC2" s="444"/>
      <c r="BD2" s="444"/>
      <c r="BE2" s="444"/>
      <c r="BF2" s="444"/>
      <c r="BG2" s="444"/>
      <c r="BH2" s="444"/>
      <c r="BI2" s="444"/>
      <c r="BJ2" s="444"/>
      <c r="BK2" s="171"/>
      <c r="BL2" s="171"/>
    </row>
    <row r="3" spans="1:90" ht="30" customHeight="1" thickBot="1" x14ac:dyDescent="0.2">
      <c r="A3" s="166" t="s">
        <v>265</v>
      </c>
    </row>
    <row r="4" spans="1:90" s="78" customFormat="1" ht="27.75" customHeight="1" x14ac:dyDescent="0.15">
      <c r="A4" s="445" t="s">
        <v>157</v>
      </c>
      <c r="B4" s="448" t="s">
        <v>158</v>
      </c>
      <c r="C4" s="451" t="s">
        <v>159</v>
      </c>
      <c r="D4" s="452"/>
      <c r="E4" s="452"/>
      <c r="F4" s="452"/>
      <c r="G4" s="452"/>
      <c r="H4" s="452"/>
      <c r="I4" s="452"/>
      <c r="J4" s="452"/>
      <c r="K4" s="452"/>
      <c r="L4" s="452"/>
      <c r="M4" s="452"/>
      <c r="N4" s="452"/>
      <c r="O4" s="452"/>
      <c r="P4" s="452"/>
      <c r="Q4" s="452"/>
      <c r="R4" s="452"/>
      <c r="S4" s="452"/>
      <c r="T4" s="452"/>
      <c r="U4" s="452"/>
      <c r="V4" s="452"/>
      <c r="W4" s="452"/>
      <c r="X4" s="452"/>
      <c r="Y4" s="452"/>
      <c r="Z4" s="452"/>
      <c r="AA4" s="452"/>
      <c r="AB4" s="452"/>
      <c r="AC4" s="452"/>
      <c r="AD4" s="452"/>
      <c r="AE4" s="452"/>
      <c r="AF4" s="452"/>
      <c r="AG4" s="452"/>
      <c r="AH4" s="452"/>
      <c r="AI4" s="452"/>
      <c r="AJ4" s="452"/>
      <c r="AK4" s="452"/>
      <c r="AL4" s="452"/>
      <c r="AM4" s="452"/>
      <c r="AN4" s="452"/>
      <c r="AO4" s="452"/>
      <c r="AP4" s="452"/>
      <c r="AQ4" s="452"/>
      <c r="AR4" s="452"/>
      <c r="AS4" s="452"/>
      <c r="AT4" s="452"/>
      <c r="AU4" s="452"/>
      <c r="AV4" s="452"/>
      <c r="AW4" s="452"/>
      <c r="AX4" s="452"/>
      <c r="AY4" s="452"/>
      <c r="AZ4" s="452"/>
      <c r="BA4" s="452"/>
      <c r="BB4" s="452"/>
      <c r="BC4" s="452"/>
      <c r="BD4" s="452"/>
      <c r="BE4" s="452"/>
      <c r="BF4" s="452"/>
      <c r="BG4" s="452"/>
      <c r="BH4" s="452"/>
      <c r="BI4" s="452"/>
      <c r="BJ4" s="453"/>
      <c r="BK4" s="442"/>
      <c r="BL4" s="443"/>
    </row>
    <row r="5" spans="1:90" s="78" customFormat="1" ht="33" customHeight="1" x14ac:dyDescent="0.15">
      <c r="A5" s="446"/>
      <c r="B5" s="449"/>
      <c r="C5" s="454" t="s">
        <v>160</v>
      </c>
      <c r="D5" s="349" t="s">
        <v>161</v>
      </c>
      <c r="E5" s="142" t="s">
        <v>162</v>
      </c>
      <c r="F5" s="456" t="s">
        <v>163</v>
      </c>
      <c r="G5" s="457"/>
      <c r="H5" s="458"/>
      <c r="I5" s="459" t="s">
        <v>164</v>
      </c>
      <c r="J5" s="459"/>
      <c r="K5" s="458"/>
      <c r="L5" s="460" t="s">
        <v>165</v>
      </c>
      <c r="M5" s="461"/>
      <c r="N5" s="461"/>
      <c r="O5" s="461"/>
      <c r="P5" s="462"/>
      <c r="Q5" s="465" t="s">
        <v>260</v>
      </c>
      <c r="R5" s="466"/>
      <c r="S5" s="466"/>
      <c r="T5" s="466"/>
      <c r="U5" s="466"/>
      <c r="V5" s="466"/>
      <c r="W5" s="466"/>
      <c r="X5" s="467"/>
      <c r="Y5" s="463" t="s">
        <v>166</v>
      </c>
      <c r="Z5" s="437"/>
      <c r="AA5" s="437"/>
      <c r="AB5" s="437"/>
      <c r="AC5" s="437"/>
      <c r="AD5" s="437"/>
      <c r="AE5" s="437"/>
      <c r="AF5" s="437"/>
      <c r="AG5" s="437"/>
      <c r="AH5" s="437"/>
      <c r="AI5" s="437"/>
      <c r="AJ5" s="437"/>
      <c r="AK5" s="464"/>
      <c r="AL5" s="438"/>
      <c r="AM5" s="437" t="s">
        <v>139</v>
      </c>
      <c r="AN5" s="437"/>
      <c r="AO5" s="437"/>
      <c r="AP5" s="437"/>
      <c r="AQ5" s="437"/>
      <c r="AR5" s="437"/>
      <c r="AS5" s="437"/>
      <c r="AT5" s="438"/>
      <c r="AU5" s="436" t="s">
        <v>167</v>
      </c>
      <c r="AV5" s="437"/>
      <c r="AW5" s="437"/>
      <c r="AX5" s="437"/>
      <c r="AY5" s="437"/>
      <c r="AZ5" s="438"/>
      <c r="BA5" s="436" t="s">
        <v>168</v>
      </c>
      <c r="BB5" s="437"/>
      <c r="BC5" s="439" t="s">
        <v>169</v>
      </c>
      <c r="BD5" s="440"/>
      <c r="BE5" s="440"/>
      <c r="BF5" s="440"/>
      <c r="BG5" s="440"/>
      <c r="BH5" s="440"/>
      <c r="BI5" s="441"/>
      <c r="BJ5" s="199" t="s">
        <v>170</v>
      </c>
      <c r="BK5" s="471" t="s">
        <v>259</v>
      </c>
      <c r="BL5" s="472"/>
    </row>
    <row r="6" spans="1:90" s="78" customFormat="1" ht="302.25" customHeight="1" thickBot="1" x14ac:dyDescent="0.2">
      <c r="A6" s="447"/>
      <c r="B6" s="450"/>
      <c r="C6" s="455"/>
      <c r="D6" s="146" t="s">
        <v>171</v>
      </c>
      <c r="E6" s="147" t="s">
        <v>172</v>
      </c>
      <c r="F6" s="148" t="s">
        <v>173</v>
      </c>
      <c r="G6" s="149" t="s">
        <v>174</v>
      </c>
      <c r="H6" s="150" t="s">
        <v>175</v>
      </c>
      <c r="I6" s="151" t="s">
        <v>176</v>
      </c>
      <c r="J6" s="151" t="s">
        <v>177</v>
      </c>
      <c r="K6" s="150" t="s">
        <v>178</v>
      </c>
      <c r="L6" s="149" t="s">
        <v>179</v>
      </c>
      <c r="M6" s="149" t="s">
        <v>180</v>
      </c>
      <c r="N6" s="149" t="s">
        <v>249</v>
      </c>
      <c r="O6" s="149" t="s">
        <v>181</v>
      </c>
      <c r="P6" s="151" t="s">
        <v>182</v>
      </c>
      <c r="Q6" s="146" t="s">
        <v>183</v>
      </c>
      <c r="R6" s="149" t="s">
        <v>184</v>
      </c>
      <c r="S6" s="149" t="s">
        <v>185</v>
      </c>
      <c r="T6" s="149" t="s">
        <v>261</v>
      </c>
      <c r="U6" s="149" t="s">
        <v>186</v>
      </c>
      <c r="V6" s="149" t="s">
        <v>187</v>
      </c>
      <c r="W6" s="149" t="s">
        <v>188</v>
      </c>
      <c r="X6" s="150" t="s">
        <v>189</v>
      </c>
      <c r="Y6" s="148" t="s">
        <v>190</v>
      </c>
      <c r="Z6" s="149" t="s">
        <v>85</v>
      </c>
      <c r="AA6" s="149" t="s">
        <v>191</v>
      </c>
      <c r="AB6" s="149" t="s">
        <v>192</v>
      </c>
      <c r="AC6" s="149" t="s">
        <v>193</v>
      </c>
      <c r="AD6" s="149" t="s">
        <v>194</v>
      </c>
      <c r="AE6" s="149" t="s">
        <v>195</v>
      </c>
      <c r="AF6" s="149" t="s">
        <v>196</v>
      </c>
      <c r="AG6" s="149" t="s">
        <v>197</v>
      </c>
      <c r="AH6" s="149" t="s">
        <v>198</v>
      </c>
      <c r="AI6" s="149" t="s">
        <v>199</v>
      </c>
      <c r="AJ6" s="149" t="s">
        <v>200</v>
      </c>
      <c r="AK6" s="151" t="s">
        <v>201</v>
      </c>
      <c r="AL6" s="150" t="s">
        <v>202</v>
      </c>
      <c r="AM6" s="149" t="s">
        <v>203</v>
      </c>
      <c r="AN6" s="149" t="s">
        <v>252</v>
      </c>
      <c r="AO6" s="149" t="s">
        <v>204</v>
      </c>
      <c r="AP6" s="149" t="s">
        <v>205</v>
      </c>
      <c r="AQ6" s="149" t="s">
        <v>206</v>
      </c>
      <c r="AR6" s="149" t="s">
        <v>207</v>
      </c>
      <c r="AS6" s="149" t="s">
        <v>208</v>
      </c>
      <c r="AT6" s="150" t="s">
        <v>209</v>
      </c>
      <c r="AU6" s="146" t="s">
        <v>94</v>
      </c>
      <c r="AV6" s="149" t="s">
        <v>210</v>
      </c>
      <c r="AW6" s="149" t="s">
        <v>211</v>
      </c>
      <c r="AX6" s="149" t="s">
        <v>212</v>
      </c>
      <c r="AY6" s="149" t="s">
        <v>143</v>
      </c>
      <c r="AZ6" s="150" t="s">
        <v>213</v>
      </c>
      <c r="BA6" s="146" t="s">
        <v>214</v>
      </c>
      <c r="BB6" s="150" t="s">
        <v>117</v>
      </c>
      <c r="BC6" s="146" t="s">
        <v>215</v>
      </c>
      <c r="BD6" s="152" t="s">
        <v>216</v>
      </c>
      <c r="BE6" s="152" t="s">
        <v>217</v>
      </c>
      <c r="BF6" s="152" t="s">
        <v>218</v>
      </c>
      <c r="BG6" s="152" t="s">
        <v>219</v>
      </c>
      <c r="BH6" s="149" t="s">
        <v>220</v>
      </c>
      <c r="BI6" s="150" t="s">
        <v>144</v>
      </c>
      <c r="BJ6" s="200" t="s">
        <v>221</v>
      </c>
      <c r="BK6" s="217" t="s">
        <v>257</v>
      </c>
      <c r="BL6" s="357" t="s">
        <v>258</v>
      </c>
    </row>
    <row r="7" spans="1:90" s="87" customFormat="1" ht="39.950000000000003" customHeight="1" thickTop="1" thickBot="1" x14ac:dyDescent="0.2">
      <c r="A7" s="80" t="s">
        <v>225</v>
      </c>
      <c r="B7" s="143">
        <f t="shared" ref="B7:B16" si="0">C7</f>
        <v>1159</v>
      </c>
      <c r="C7" s="144">
        <f>SUM(D7:BL7)</f>
        <v>1159</v>
      </c>
      <c r="D7" s="81">
        <f t="shared" ref="D7:I7" si="1">D8+D9+D10+D11+D17</f>
        <v>4</v>
      </c>
      <c r="E7" s="82">
        <f t="shared" si="1"/>
        <v>1</v>
      </c>
      <c r="F7" s="83">
        <f t="shared" si="1"/>
        <v>9</v>
      </c>
      <c r="G7" s="83">
        <f t="shared" si="1"/>
        <v>1</v>
      </c>
      <c r="H7" s="85">
        <f t="shared" si="1"/>
        <v>1</v>
      </c>
      <c r="I7" s="204">
        <f t="shared" si="1"/>
        <v>4</v>
      </c>
      <c r="J7" s="86">
        <f t="shared" ref="J7:K7" si="2">J8+J9+J10+J11+J17</f>
        <v>2</v>
      </c>
      <c r="K7" s="85">
        <f t="shared" si="2"/>
        <v>2</v>
      </c>
      <c r="L7" s="204">
        <f t="shared" ref="L7" si="3">L8+L9+L10+L11+L17</f>
        <v>43</v>
      </c>
      <c r="M7" s="86">
        <f t="shared" ref="M7" si="4">M8+M9+M10+M11+M17</f>
        <v>13</v>
      </c>
      <c r="N7" s="86">
        <f t="shared" ref="N7" si="5">N8+N9+N10+N11+N17</f>
        <v>1</v>
      </c>
      <c r="O7" s="86">
        <f t="shared" ref="O7" si="6">O8+O9+O10+O11+O17</f>
        <v>2</v>
      </c>
      <c r="P7" s="85">
        <f t="shared" ref="P7" si="7">P8+P9+P10+P11+P17</f>
        <v>1</v>
      </c>
      <c r="Q7" s="206">
        <f t="shared" ref="Q7" si="8">Q8+Q9+Q10+Q11+Q17</f>
        <v>171</v>
      </c>
      <c r="R7" s="86">
        <f t="shared" ref="R7" si="9">R8+R9+R10+R11+R17</f>
        <v>3</v>
      </c>
      <c r="S7" s="86">
        <f t="shared" ref="S7:T7" si="10">S8+S9+S10+S11+S17</f>
        <v>11</v>
      </c>
      <c r="T7" s="86">
        <f t="shared" si="10"/>
        <v>6</v>
      </c>
      <c r="U7" s="86">
        <f t="shared" ref="U7" si="11">U8+U9+U10+U11+U17</f>
        <v>36</v>
      </c>
      <c r="V7" s="86">
        <f t="shared" ref="V7" si="12">V8+V9+V10+V11+V17</f>
        <v>1</v>
      </c>
      <c r="W7" s="86">
        <f t="shared" ref="W7" si="13">W8+W9+W10+W11+W17</f>
        <v>12</v>
      </c>
      <c r="X7" s="85">
        <f t="shared" ref="X7" si="14">X8+X9+X10+X11+X17</f>
        <v>3</v>
      </c>
      <c r="Y7" s="204">
        <f t="shared" ref="Y7" si="15">Y8+Y9+Y10+Y11+Y17</f>
        <v>138</v>
      </c>
      <c r="Z7" s="86">
        <f t="shared" ref="Z7" si="16">Z8+Z9+Z10+Z11+Z17</f>
        <v>1</v>
      </c>
      <c r="AA7" s="86">
        <f t="shared" ref="AA7" si="17">AA8+AA9+AA10+AA11+AA17</f>
        <v>6</v>
      </c>
      <c r="AB7" s="86">
        <f t="shared" ref="AB7" si="18">AB8+AB9+AB10+AB11+AB17</f>
        <v>2</v>
      </c>
      <c r="AC7" s="86">
        <f t="shared" ref="AC7" si="19">AC8+AC9+AC10+AC11+AC17</f>
        <v>6</v>
      </c>
      <c r="AD7" s="86">
        <f t="shared" ref="AD7" si="20">AD8+AD9+AD10+AD11+AD17</f>
        <v>1</v>
      </c>
      <c r="AE7" s="86">
        <f t="shared" ref="AE7" si="21">AE8+AE9+AE10+AE11+AE17</f>
        <v>3</v>
      </c>
      <c r="AF7" s="86">
        <f t="shared" ref="AF7" si="22">AF8+AF9+AF10+AF11+AF17</f>
        <v>1</v>
      </c>
      <c r="AG7" s="86">
        <f t="shared" ref="AG7" si="23">AG8+AG9+AG10+AG11+AG17</f>
        <v>10</v>
      </c>
      <c r="AH7" s="86">
        <f t="shared" ref="AH7" si="24">AH8+AH9+AH10+AH11+AH17</f>
        <v>3</v>
      </c>
      <c r="AI7" s="86">
        <f t="shared" ref="AI7" si="25">AI8+AI9+AI10+AI11+AI17</f>
        <v>1</v>
      </c>
      <c r="AJ7" s="86">
        <f t="shared" ref="AJ7" si="26">AJ8+AJ9+AJ10+AJ11+AJ17</f>
        <v>60</v>
      </c>
      <c r="AK7" s="86">
        <f t="shared" ref="AK7" si="27">AK8+AK9+AK10+AK11+AK17</f>
        <v>3</v>
      </c>
      <c r="AL7" s="85">
        <f t="shared" ref="AL7" si="28">AL8+AL9+AL10+AL11+AL17</f>
        <v>12</v>
      </c>
      <c r="AM7" s="204">
        <f t="shared" ref="AM7" si="29">AM8+AM9+AM10+AM11+AM17</f>
        <v>198</v>
      </c>
      <c r="AN7" s="86">
        <f t="shared" ref="AN7" si="30">AN8+AN9+AN10+AN11+AN17</f>
        <v>2</v>
      </c>
      <c r="AO7" s="86">
        <f t="shared" ref="AO7" si="31">AO8+AO9+AO10+AO11+AO17</f>
        <v>1</v>
      </c>
      <c r="AP7" s="86">
        <f t="shared" ref="AP7" si="32">AP8+AP9+AP10+AP11+AP17</f>
        <v>35</v>
      </c>
      <c r="AQ7" s="86">
        <f t="shared" ref="AQ7" si="33">AQ8+AQ9+AQ10+AQ11+AQ17</f>
        <v>6</v>
      </c>
      <c r="AR7" s="86">
        <f t="shared" ref="AR7" si="34">AR8+AR9+AR10+AR11+AR17</f>
        <v>2</v>
      </c>
      <c r="AS7" s="86">
        <f t="shared" ref="AS7" si="35">AS8+AS9+AS10+AS11+AS17</f>
        <v>14</v>
      </c>
      <c r="AT7" s="85">
        <f t="shared" ref="AT7" si="36">AT8+AT9+AT10+AT11+AT17</f>
        <v>4</v>
      </c>
      <c r="AU7" s="204">
        <f t="shared" ref="AU7" si="37">AU8+AU9+AU10+AU11+AU17</f>
        <v>148</v>
      </c>
      <c r="AV7" s="86">
        <f t="shared" ref="AV7" si="38">AV8+AV9+AV10+AV11+AV17</f>
        <v>54</v>
      </c>
      <c r="AW7" s="86">
        <f t="shared" ref="AW7" si="39">AW8+AW9+AW10+AW11+AW17</f>
        <v>2</v>
      </c>
      <c r="AX7" s="86">
        <f t="shared" ref="AX7" si="40">AX8+AX9+AX10+AX11+AX17</f>
        <v>23</v>
      </c>
      <c r="AY7" s="86">
        <f t="shared" ref="AY7" si="41">AY8+AY9+AY10+AY11+AY17</f>
        <v>45</v>
      </c>
      <c r="AZ7" s="85">
        <f t="shared" ref="AZ7" si="42">AZ8+AZ9+AZ10+AZ11+AZ17</f>
        <v>1</v>
      </c>
      <c r="BA7" s="204">
        <f t="shared" ref="BA7" si="43">BA8+BA9+BA10+BA11+BA17</f>
        <v>3</v>
      </c>
      <c r="BB7" s="85">
        <f t="shared" ref="BB7" si="44">BB8+BB9+BB10+BB11+BB17</f>
        <v>14</v>
      </c>
      <c r="BC7" s="204">
        <f t="shared" ref="BC7" si="45">BC8+BC9+BC10+BC11+BC17</f>
        <v>1</v>
      </c>
      <c r="BD7" s="86">
        <f t="shared" ref="BD7" si="46">BD8+BD9+BD10+BD11+BD17</f>
        <v>3</v>
      </c>
      <c r="BE7" s="86">
        <f t="shared" ref="BE7" si="47">BE8+BE9+BE10+BE11+BE17</f>
        <v>11</v>
      </c>
      <c r="BF7" s="86">
        <f t="shared" ref="BF7" si="48">BF8+BF9+BF10+BF11+BF17</f>
        <v>2</v>
      </c>
      <c r="BG7" s="86">
        <f t="shared" ref="BG7" si="49">BG8+BG9+BG10+BG11+BG17</f>
        <v>1</v>
      </c>
      <c r="BH7" s="86">
        <f t="shared" ref="BH7" si="50">BH8+BH9+BH10+BH11+BH17</f>
        <v>4</v>
      </c>
      <c r="BI7" s="85">
        <f t="shared" ref="BI7" si="51">BI8+BI9+BI10+BI11+BI17</f>
        <v>4</v>
      </c>
      <c r="BJ7" s="82">
        <f t="shared" ref="BJ7" si="52">BJ8+BJ9+BJ10+BJ11+BJ17</f>
        <v>3</v>
      </c>
      <c r="BK7" s="86">
        <f t="shared" ref="BK7" si="53">BK8+BK9+BK10+BK11+BK17</f>
        <v>2</v>
      </c>
      <c r="BL7" s="358">
        <f t="shared" ref="BL7" si="54">BL8+BL9+BL10+BL11+BL17</f>
        <v>2</v>
      </c>
    </row>
    <row r="8" spans="1:90" s="87" customFormat="1" ht="39.950000000000003" customHeight="1" thickTop="1" x14ac:dyDescent="0.15">
      <c r="A8" s="88" t="s">
        <v>226</v>
      </c>
      <c r="B8" s="89">
        <f t="shared" si="0"/>
        <v>30</v>
      </c>
      <c r="C8" s="162">
        <f>SUM(D8:BJ8)</f>
        <v>30</v>
      </c>
      <c r="D8" s="90"/>
      <c r="E8" s="91">
        <v>1</v>
      </c>
      <c r="F8" s="92">
        <v>1</v>
      </c>
      <c r="G8" s="93"/>
      <c r="H8" s="94"/>
      <c r="I8" s="95">
        <v>1</v>
      </c>
      <c r="J8" s="95"/>
      <c r="K8" s="94"/>
      <c r="L8" s="93">
        <v>6</v>
      </c>
      <c r="M8" s="93"/>
      <c r="N8" s="93"/>
      <c r="O8" s="93">
        <v>1</v>
      </c>
      <c r="P8" s="95">
        <v>1</v>
      </c>
      <c r="Q8" s="90">
        <v>5</v>
      </c>
      <c r="R8" s="93"/>
      <c r="S8" s="93"/>
      <c r="T8" s="93"/>
      <c r="U8" s="93"/>
      <c r="V8" s="93"/>
      <c r="W8" s="93"/>
      <c r="X8" s="94"/>
      <c r="Y8" s="92">
        <v>1</v>
      </c>
      <c r="Z8" s="93"/>
      <c r="AA8" s="93"/>
      <c r="AB8" s="93"/>
      <c r="AC8" s="93"/>
      <c r="AD8" s="93"/>
      <c r="AE8" s="93"/>
      <c r="AF8" s="93"/>
      <c r="AG8" s="93"/>
      <c r="AH8" s="93"/>
      <c r="AI8" s="93">
        <v>1</v>
      </c>
      <c r="AJ8" s="93"/>
      <c r="AK8" s="95"/>
      <c r="AL8" s="94"/>
      <c r="AM8" s="93">
        <v>1</v>
      </c>
      <c r="AN8" s="93"/>
      <c r="AO8" s="93"/>
      <c r="AP8" s="93"/>
      <c r="AQ8" s="93"/>
      <c r="AR8" s="93"/>
      <c r="AS8" s="93"/>
      <c r="AT8" s="94"/>
      <c r="AU8" s="90">
        <v>4</v>
      </c>
      <c r="AV8" s="93"/>
      <c r="AW8" s="93">
        <v>1</v>
      </c>
      <c r="AX8" s="93"/>
      <c r="AY8" s="93">
        <v>2</v>
      </c>
      <c r="AZ8" s="94">
        <v>1</v>
      </c>
      <c r="BA8" s="90"/>
      <c r="BB8" s="93"/>
      <c r="BC8" s="90"/>
      <c r="BD8" s="93"/>
      <c r="BE8" s="93"/>
      <c r="BF8" s="93"/>
      <c r="BG8" s="93"/>
      <c r="BH8" s="93"/>
      <c r="BI8" s="94"/>
      <c r="BJ8" s="201">
        <v>3</v>
      </c>
      <c r="BK8" s="93"/>
      <c r="BL8" s="359"/>
    </row>
    <row r="9" spans="1:90" s="87" customFormat="1" ht="39.950000000000003" customHeight="1" x14ac:dyDescent="0.15">
      <c r="A9" s="96" t="s">
        <v>227</v>
      </c>
      <c r="B9" s="127">
        <f t="shared" si="0"/>
        <v>236</v>
      </c>
      <c r="C9" s="163">
        <f>SUM(D9:BJ9)</f>
        <v>236</v>
      </c>
      <c r="D9" s="97">
        <v>1</v>
      </c>
      <c r="E9" s="98"/>
      <c r="F9" s="99"/>
      <c r="G9" s="79">
        <v>1</v>
      </c>
      <c r="H9" s="100"/>
      <c r="I9" s="101"/>
      <c r="J9" s="101">
        <v>2</v>
      </c>
      <c r="K9" s="100"/>
      <c r="L9" s="79"/>
      <c r="M9" s="79">
        <v>13</v>
      </c>
      <c r="N9" s="79">
        <f>0+1</f>
        <v>1</v>
      </c>
      <c r="O9" s="79"/>
      <c r="P9" s="101"/>
      <c r="Q9" s="97">
        <v>6</v>
      </c>
      <c r="R9" s="79">
        <v>3</v>
      </c>
      <c r="S9" s="79"/>
      <c r="T9" s="79"/>
      <c r="U9" s="79">
        <f>5-1</f>
        <v>4</v>
      </c>
      <c r="V9" s="79">
        <v>1</v>
      </c>
      <c r="W9" s="79">
        <v>12</v>
      </c>
      <c r="X9" s="100">
        <v>3</v>
      </c>
      <c r="Y9" s="99">
        <v>10</v>
      </c>
      <c r="Z9" s="79"/>
      <c r="AA9" s="79">
        <v>1</v>
      </c>
      <c r="AB9" s="79"/>
      <c r="AC9" s="79">
        <v>1</v>
      </c>
      <c r="AD9" s="79">
        <v>1</v>
      </c>
      <c r="AE9" s="79">
        <v>3</v>
      </c>
      <c r="AF9" s="79">
        <v>1</v>
      </c>
      <c r="AG9" s="79"/>
      <c r="AH9" s="79"/>
      <c r="AI9" s="79"/>
      <c r="AJ9" s="79">
        <v>28</v>
      </c>
      <c r="AK9" s="101">
        <v>3</v>
      </c>
      <c r="AL9" s="100">
        <v>12</v>
      </c>
      <c r="AM9" s="79">
        <v>7</v>
      </c>
      <c r="AN9" s="79"/>
      <c r="AO9" s="79">
        <v>1</v>
      </c>
      <c r="AP9" s="346">
        <f>34+1</f>
        <v>35</v>
      </c>
      <c r="AQ9" s="79"/>
      <c r="AR9" s="79"/>
      <c r="AS9" s="79">
        <v>7</v>
      </c>
      <c r="AT9" s="100">
        <v>4</v>
      </c>
      <c r="AU9" s="97">
        <v>1</v>
      </c>
      <c r="AV9" s="79">
        <v>22</v>
      </c>
      <c r="AW9" s="79"/>
      <c r="AX9" s="79">
        <f>11+2+1</f>
        <v>14</v>
      </c>
      <c r="AY9" s="79">
        <v>21</v>
      </c>
      <c r="AZ9" s="100"/>
      <c r="BA9" s="97"/>
      <c r="BB9" s="79"/>
      <c r="BC9" s="97"/>
      <c r="BD9" s="345">
        <f>4-1</f>
        <v>3</v>
      </c>
      <c r="BE9" s="79">
        <v>11</v>
      </c>
      <c r="BF9" s="79">
        <f>2-1+1</f>
        <v>2</v>
      </c>
      <c r="BG9" s="79"/>
      <c r="BH9" s="79"/>
      <c r="BI9" s="100">
        <v>1</v>
      </c>
      <c r="BJ9" s="202"/>
      <c r="BK9" s="109"/>
      <c r="BL9" s="205"/>
      <c r="BM9" s="328" t="s">
        <v>266</v>
      </c>
    </row>
    <row r="10" spans="1:90" s="87" customFormat="1" ht="39.950000000000003" customHeight="1" x14ac:dyDescent="0.15">
      <c r="A10" s="88" t="s">
        <v>228</v>
      </c>
      <c r="B10" s="145">
        <f t="shared" si="0"/>
        <v>34</v>
      </c>
      <c r="C10" s="162">
        <f>SUM(D10:BJ10)</f>
        <v>34</v>
      </c>
      <c r="D10" s="90"/>
      <c r="E10" s="91"/>
      <c r="F10" s="92"/>
      <c r="G10" s="93"/>
      <c r="H10" s="94">
        <v>1</v>
      </c>
      <c r="I10" s="95"/>
      <c r="J10" s="95"/>
      <c r="K10" s="94">
        <v>2</v>
      </c>
      <c r="L10" s="93">
        <f>0+1</f>
        <v>1</v>
      </c>
      <c r="M10" s="93"/>
      <c r="N10" s="93"/>
      <c r="O10" s="93">
        <v>1</v>
      </c>
      <c r="P10" s="95"/>
      <c r="Q10" s="90">
        <f>3-1</f>
        <v>2</v>
      </c>
      <c r="R10" s="93"/>
      <c r="S10" s="93"/>
      <c r="T10" s="93"/>
      <c r="U10" s="93"/>
      <c r="V10" s="93"/>
      <c r="W10" s="93"/>
      <c r="X10" s="94"/>
      <c r="Y10" s="92">
        <v>5</v>
      </c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5"/>
      <c r="AL10" s="94"/>
      <c r="AM10" s="93">
        <v>2</v>
      </c>
      <c r="AN10" s="93"/>
      <c r="AO10" s="93"/>
      <c r="AP10" s="93"/>
      <c r="AQ10" s="93"/>
      <c r="AR10" s="93"/>
      <c r="AS10" s="93"/>
      <c r="AT10" s="94"/>
      <c r="AU10" s="90">
        <v>3</v>
      </c>
      <c r="AV10" s="93"/>
      <c r="AW10" s="93"/>
      <c r="AX10" s="93"/>
      <c r="AY10" s="93">
        <v>1</v>
      </c>
      <c r="AZ10" s="94"/>
      <c r="BA10" s="90">
        <v>3</v>
      </c>
      <c r="BB10" s="93">
        <v>12</v>
      </c>
      <c r="BC10" s="90"/>
      <c r="BD10" s="93"/>
      <c r="BE10" s="93"/>
      <c r="BF10" s="93"/>
      <c r="BG10" s="93"/>
      <c r="BH10" s="93">
        <v>1</v>
      </c>
      <c r="BI10" s="94"/>
      <c r="BJ10" s="201"/>
      <c r="BK10" s="93"/>
      <c r="BL10" s="359"/>
      <c r="BM10" s="70"/>
    </row>
    <row r="11" spans="1:90" s="87" customFormat="1" ht="39.950000000000003" customHeight="1" x14ac:dyDescent="0.15">
      <c r="A11" s="102" t="s">
        <v>229</v>
      </c>
      <c r="B11" s="128">
        <f t="shared" si="0"/>
        <v>835</v>
      </c>
      <c r="C11" s="164">
        <f>SUM(D11:BL11)</f>
        <v>835</v>
      </c>
      <c r="D11" s="103">
        <f>SUM(D12:D16)</f>
        <v>3</v>
      </c>
      <c r="E11" s="104">
        <f t="shared" ref="E11" si="55">SUM(E12:E16)</f>
        <v>0</v>
      </c>
      <c r="F11" s="105">
        <f>SUM(F12:F16)</f>
        <v>6</v>
      </c>
      <c r="G11" s="106"/>
      <c r="H11" s="107"/>
      <c r="I11" s="108">
        <v>3</v>
      </c>
      <c r="J11" s="108"/>
      <c r="K11" s="107"/>
      <c r="L11" s="106">
        <f>SUM(L12:L16)</f>
        <v>32</v>
      </c>
      <c r="M11" s="106"/>
      <c r="N11" s="106"/>
      <c r="O11" s="106"/>
      <c r="P11" s="108"/>
      <c r="Q11" s="103">
        <f>SUM(Q12:Q16)</f>
        <v>158</v>
      </c>
      <c r="R11" s="106"/>
      <c r="S11" s="106">
        <f>SUM(S12:S16)</f>
        <v>11</v>
      </c>
      <c r="T11" s="106"/>
      <c r="U11" s="106">
        <f>SUM(U12:U16)</f>
        <v>32</v>
      </c>
      <c r="V11" s="106"/>
      <c r="W11" s="106"/>
      <c r="X11" s="107"/>
      <c r="Y11" s="105">
        <f>SUM(Y12:Y16)</f>
        <v>118</v>
      </c>
      <c r="Z11" s="106">
        <f t="shared" ref="Z11:AC11" si="56">SUM(Z12:Z16)</f>
        <v>1</v>
      </c>
      <c r="AA11" s="106">
        <f t="shared" si="56"/>
        <v>5</v>
      </c>
      <c r="AB11" s="106">
        <f>SUM(AB12:AB16)</f>
        <v>2</v>
      </c>
      <c r="AC11" s="106">
        <f t="shared" si="56"/>
        <v>5</v>
      </c>
      <c r="AD11" s="276"/>
      <c r="AE11" s="276"/>
      <c r="AF11" s="276"/>
      <c r="AG11" s="276">
        <f>SUM(AG12:AG16)</f>
        <v>10</v>
      </c>
      <c r="AH11" s="276">
        <f>SUM(AH12:AH16)</f>
        <v>3</v>
      </c>
      <c r="AI11" s="276"/>
      <c r="AJ11" s="276">
        <f t="shared" ref="AJ11" si="57">SUM(AJ12:AJ16)</f>
        <v>32</v>
      </c>
      <c r="AK11" s="277"/>
      <c r="AL11" s="278"/>
      <c r="AM11" s="276">
        <f>SUM(AM12:AM16)</f>
        <v>186</v>
      </c>
      <c r="AN11" s="279">
        <f>0+2</f>
        <v>2</v>
      </c>
      <c r="AO11" s="276"/>
      <c r="AP11" s="276"/>
      <c r="AQ11" s="276">
        <f t="shared" ref="AQ11:AS11" si="58">SUM(AQ12:AQ16)</f>
        <v>6</v>
      </c>
      <c r="AR11" s="276">
        <f>SUM(AR12:AR16)</f>
        <v>2</v>
      </c>
      <c r="AS11" s="276">
        <f t="shared" si="58"/>
        <v>7</v>
      </c>
      <c r="AT11" s="278"/>
      <c r="AU11" s="279">
        <f>SUM(AU12:AU16)</f>
        <v>140</v>
      </c>
      <c r="AV11" s="276">
        <f>SUM(AV12:AV16)</f>
        <v>32</v>
      </c>
      <c r="AW11" s="276">
        <f>SUM(AW12:AW16)</f>
        <v>1</v>
      </c>
      <c r="AX11" s="279">
        <f>SUM(AX12:AX16)</f>
        <v>9</v>
      </c>
      <c r="AY11" s="279">
        <f t="shared" ref="AY11" si="59">SUM(AY12:AY16)</f>
        <v>21</v>
      </c>
      <c r="AZ11" s="278"/>
      <c r="BA11" s="280"/>
      <c r="BB11" s="278"/>
      <c r="BC11" s="281">
        <f>SUM(BC12:BC16)</f>
        <v>1</v>
      </c>
      <c r="BD11" s="276"/>
      <c r="BE11" s="276"/>
      <c r="BF11" s="279">
        <f t="shared" ref="BF11:BI11" si="60">SUM(BF12:BF16)</f>
        <v>0</v>
      </c>
      <c r="BG11" s="276">
        <f t="shared" si="60"/>
        <v>1</v>
      </c>
      <c r="BH11" s="279">
        <f t="shared" si="60"/>
        <v>3</v>
      </c>
      <c r="BI11" s="278">
        <f t="shared" si="60"/>
        <v>3</v>
      </c>
      <c r="BJ11" s="282"/>
      <c r="BK11" s="279"/>
      <c r="BL11" s="283"/>
      <c r="BM11" s="169"/>
    </row>
    <row r="12" spans="1:90" s="87" customFormat="1" ht="39.75" customHeight="1" x14ac:dyDescent="0.15">
      <c r="A12" s="110" t="s">
        <v>230</v>
      </c>
      <c r="B12" s="116">
        <f t="shared" si="0"/>
        <v>210</v>
      </c>
      <c r="C12" s="165">
        <f>SUM(D12:BL12)</f>
        <v>210</v>
      </c>
      <c r="D12" s="111">
        <v>1</v>
      </c>
      <c r="E12" s="112"/>
      <c r="F12" s="113">
        <v>2</v>
      </c>
      <c r="G12" s="109"/>
      <c r="H12" s="114"/>
      <c r="I12" s="115">
        <v>1</v>
      </c>
      <c r="J12" s="115"/>
      <c r="K12" s="114"/>
      <c r="L12" s="109">
        <v>6</v>
      </c>
      <c r="M12" s="109"/>
      <c r="N12" s="109"/>
      <c r="O12" s="109"/>
      <c r="P12" s="115"/>
      <c r="Q12" s="111">
        <v>36</v>
      </c>
      <c r="R12" s="109"/>
      <c r="S12" s="109">
        <v>3</v>
      </c>
      <c r="T12" s="109"/>
      <c r="U12" s="109">
        <f>0+7</f>
        <v>7</v>
      </c>
      <c r="V12" s="109"/>
      <c r="W12" s="109"/>
      <c r="X12" s="114"/>
      <c r="Y12" s="113">
        <f>31-1</f>
        <v>30</v>
      </c>
      <c r="Z12" s="109">
        <f>0+1</f>
        <v>1</v>
      </c>
      <c r="AA12" s="109">
        <v>1</v>
      </c>
      <c r="AB12" s="109"/>
      <c r="AC12" s="109">
        <v>1</v>
      </c>
      <c r="AD12" s="279"/>
      <c r="AE12" s="279"/>
      <c r="AF12" s="279"/>
      <c r="AG12" s="279">
        <v>4</v>
      </c>
      <c r="AH12" s="279">
        <v>1</v>
      </c>
      <c r="AI12" s="279"/>
      <c r="AJ12" s="279">
        <f>0+6+1</f>
        <v>7</v>
      </c>
      <c r="AK12" s="284"/>
      <c r="AL12" s="285"/>
      <c r="AM12" s="279">
        <f>46+2</f>
        <v>48</v>
      </c>
      <c r="AN12" s="279">
        <f>0+1+1</f>
        <v>2</v>
      </c>
      <c r="AO12" s="279"/>
      <c r="AP12" s="279"/>
      <c r="AQ12" s="279">
        <f>1-1</f>
        <v>0</v>
      </c>
      <c r="AR12" s="279"/>
      <c r="AS12" s="279">
        <v>0</v>
      </c>
      <c r="AT12" s="285"/>
      <c r="AU12" s="279">
        <v>41</v>
      </c>
      <c r="AV12" s="279">
        <f>0+6+1</f>
        <v>7</v>
      </c>
      <c r="AW12" s="279">
        <v>1</v>
      </c>
      <c r="AX12" s="279">
        <f>4-2</f>
        <v>2</v>
      </c>
      <c r="AY12" s="279">
        <v>6</v>
      </c>
      <c r="AZ12" s="285"/>
      <c r="BA12" s="286"/>
      <c r="BB12" s="285"/>
      <c r="BC12" s="279">
        <f>1-1</f>
        <v>0</v>
      </c>
      <c r="BD12" s="279"/>
      <c r="BE12" s="279"/>
      <c r="BF12" s="279"/>
      <c r="BG12" s="279"/>
      <c r="BH12" s="279">
        <v>1</v>
      </c>
      <c r="BI12" s="285">
        <v>1</v>
      </c>
      <c r="BJ12" s="287"/>
      <c r="BK12" s="279"/>
      <c r="BL12" s="283"/>
      <c r="BM12" s="473"/>
      <c r="BN12" s="473"/>
      <c r="BO12" s="473"/>
      <c r="BP12" s="473"/>
      <c r="BQ12" s="473"/>
      <c r="BR12" s="473"/>
      <c r="BS12" s="473"/>
      <c r="BT12" s="473"/>
      <c r="BU12" s="473"/>
      <c r="BV12" s="473"/>
      <c r="BW12" s="473"/>
      <c r="BX12" s="473"/>
      <c r="BY12" s="473"/>
      <c r="BZ12" s="473"/>
      <c r="CA12" s="473"/>
      <c r="CB12" s="473"/>
      <c r="CC12" s="473"/>
      <c r="CD12" s="473"/>
      <c r="CE12" s="473"/>
      <c r="CF12" s="473"/>
      <c r="CG12" s="473"/>
      <c r="CH12" s="473"/>
      <c r="CI12" s="473"/>
      <c r="CJ12" s="473"/>
      <c r="CK12" s="473"/>
      <c r="CL12" s="473"/>
    </row>
    <row r="13" spans="1:90" s="87" customFormat="1" ht="39.950000000000003" customHeight="1" x14ac:dyDescent="0.15">
      <c r="A13" s="110" t="s">
        <v>231</v>
      </c>
      <c r="B13" s="116">
        <f t="shared" si="0"/>
        <v>202</v>
      </c>
      <c r="C13" s="165">
        <f>SUM(D13:BJ13)</f>
        <v>202</v>
      </c>
      <c r="D13" s="111">
        <v>1</v>
      </c>
      <c r="E13" s="112"/>
      <c r="F13" s="113">
        <v>1</v>
      </c>
      <c r="G13" s="109"/>
      <c r="H13" s="114"/>
      <c r="I13" s="115">
        <v>1</v>
      </c>
      <c r="J13" s="115"/>
      <c r="K13" s="114"/>
      <c r="L13" s="109">
        <v>8</v>
      </c>
      <c r="M13" s="109"/>
      <c r="N13" s="109"/>
      <c r="O13" s="109"/>
      <c r="P13" s="115"/>
      <c r="Q13" s="111">
        <v>36</v>
      </c>
      <c r="R13" s="109"/>
      <c r="S13" s="109">
        <v>2</v>
      </c>
      <c r="T13" s="109"/>
      <c r="U13" s="109">
        <f>0+8</f>
        <v>8</v>
      </c>
      <c r="V13" s="109"/>
      <c r="W13" s="109"/>
      <c r="X13" s="114"/>
      <c r="Y13" s="113">
        <v>26</v>
      </c>
      <c r="Z13" s="109"/>
      <c r="AA13" s="109">
        <v>1</v>
      </c>
      <c r="AB13" s="109"/>
      <c r="AC13" s="109">
        <v>1</v>
      </c>
      <c r="AD13" s="279"/>
      <c r="AE13" s="279"/>
      <c r="AF13" s="279"/>
      <c r="AG13" s="279">
        <v>4</v>
      </c>
      <c r="AH13" s="279">
        <v>1</v>
      </c>
      <c r="AI13" s="279"/>
      <c r="AJ13" s="279">
        <f>0+7+1</f>
        <v>8</v>
      </c>
      <c r="AK13" s="284"/>
      <c r="AL13" s="285"/>
      <c r="AM13" s="279">
        <f>45+1</f>
        <v>46</v>
      </c>
      <c r="AN13" s="279"/>
      <c r="AO13" s="279"/>
      <c r="AP13" s="279"/>
      <c r="AQ13" s="279">
        <v>4</v>
      </c>
      <c r="AR13" s="279"/>
      <c r="AS13" s="279">
        <v>3</v>
      </c>
      <c r="AT13" s="285"/>
      <c r="AU13" s="279">
        <f>32+1</f>
        <v>33</v>
      </c>
      <c r="AV13" s="279">
        <f>0+7+1</f>
        <v>8</v>
      </c>
      <c r="AW13" s="279"/>
      <c r="AX13" s="279">
        <v>1</v>
      </c>
      <c r="AY13" s="279">
        <v>5</v>
      </c>
      <c r="AZ13" s="285"/>
      <c r="BA13" s="286"/>
      <c r="BB13" s="279"/>
      <c r="BC13" s="286"/>
      <c r="BD13" s="279"/>
      <c r="BE13" s="279"/>
      <c r="BF13" s="279"/>
      <c r="BG13" s="279"/>
      <c r="BH13" s="279">
        <v>2</v>
      </c>
      <c r="BI13" s="285">
        <f>3-1</f>
        <v>2</v>
      </c>
      <c r="BJ13" s="287"/>
      <c r="BK13" s="279"/>
      <c r="BL13" s="283"/>
      <c r="BM13" s="468"/>
      <c r="BN13" s="470"/>
      <c r="BO13" s="470"/>
      <c r="BP13" s="470"/>
      <c r="BQ13" s="470"/>
      <c r="BR13" s="470"/>
      <c r="BS13" s="470"/>
      <c r="BT13" s="470"/>
      <c r="BU13" s="470"/>
      <c r="BV13" s="470"/>
      <c r="BW13" s="470"/>
      <c r="BX13" s="470"/>
      <c r="BY13" s="470"/>
      <c r="BZ13" s="470"/>
      <c r="CA13" s="470"/>
      <c r="CB13" s="470"/>
      <c r="CC13" s="470"/>
      <c r="CD13" s="470"/>
      <c r="CE13" s="470"/>
      <c r="CF13" s="470"/>
      <c r="CG13" s="470"/>
      <c r="CH13" s="470"/>
      <c r="CI13" s="470"/>
    </row>
    <row r="14" spans="1:90" s="87" customFormat="1" ht="39.950000000000003" customHeight="1" x14ac:dyDescent="0.15">
      <c r="A14" s="110" t="s">
        <v>232</v>
      </c>
      <c r="B14" s="116">
        <f t="shared" si="0"/>
        <v>164</v>
      </c>
      <c r="C14" s="165">
        <f>SUM(D14:BJ14)</f>
        <v>164</v>
      </c>
      <c r="D14" s="111">
        <v>1</v>
      </c>
      <c r="E14" s="112"/>
      <c r="F14" s="113">
        <v>1</v>
      </c>
      <c r="G14" s="109"/>
      <c r="H14" s="114"/>
      <c r="I14" s="115">
        <v>1</v>
      </c>
      <c r="J14" s="115"/>
      <c r="K14" s="114"/>
      <c r="L14" s="109">
        <v>5</v>
      </c>
      <c r="M14" s="109"/>
      <c r="N14" s="109"/>
      <c r="O14" s="109"/>
      <c r="P14" s="115"/>
      <c r="Q14" s="111">
        <v>34</v>
      </c>
      <c r="R14" s="109"/>
      <c r="S14" s="109">
        <v>2</v>
      </c>
      <c r="T14" s="109"/>
      <c r="U14" s="109">
        <f>0+6</f>
        <v>6</v>
      </c>
      <c r="V14" s="109"/>
      <c r="W14" s="109"/>
      <c r="X14" s="114"/>
      <c r="Y14" s="113">
        <v>25</v>
      </c>
      <c r="Z14" s="109"/>
      <c r="AA14" s="109">
        <v>1</v>
      </c>
      <c r="AB14" s="109"/>
      <c r="AC14" s="109">
        <v>1</v>
      </c>
      <c r="AD14" s="279"/>
      <c r="AE14" s="279"/>
      <c r="AF14" s="279"/>
      <c r="AG14" s="279">
        <v>2</v>
      </c>
      <c r="AH14" s="279">
        <v>1</v>
      </c>
      <c r="AI14" s="279"/>
      <c r="AJ14" s="279">
        <f>0+5+1</f>
        <v>6</v>
      </c>
      <c r="AK14" s="284"/>
      <c r="AL14" s="285"/>
      <c r="AM14" s="279">
        <f>35+2</f>
        <v>37</v>
      </c>
      <c r="AN14" s="279"/>
      <c r="AO14" s="279"/>
      <c r="AP14" s="279"/>
      <c r="AQ14" s="279"/>
      <c r="AR14" s="279"/>
      <c r="AS14" s="279">
        <v>2</v>
      </c>
      <c r="AT14" s="285"/>
      <c r="AU14" s="279">
        <v>27</v>
      </c>
      <c r="AV14" s="279">
        <f>0+5+1</f>
        <v>6</v>
      </c>
      <c r="AW14" s="279"/>
      <c r="AX14" s="279">
        <v>1</v>
      </c>
      <c r="AY14" s="279">
        <v>3</v>
      </c>
      <c r="AZ14" s="285"/>
      <c r="BA14" s="286"/>
      <c r="BB14" s="279"/>
      <c r="BC14" s="286">
        <v>1</v>
      </c>
      <c r="BD14" s="279"/>
      <c r="BE14" s="279"/>
      <c r="BF14" s="279">
        <f>1-1</f>
        <v>0</v>
      </c>
      <c r="BG14" s="279">
        <v>1</v>
      </c>
      <c r="BH14" s="279"/>
      <c r="BI14" s="285"/>
      <c r="BJ14" s="287"/>
      <c r="BK14" s="279"/>
      <c r="BL14" s="283"/>
      <c r="BM14" s="468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</row>
    <row r="15" spans="1:90" s="87" customFormat="1" ht="39.950000000000003" customHeight="1" x14ac:dyDescent="0.15">
      <c r="A15" s="110" t="s">
        <v>63</v>
      </c>
      <c r="B15" s="116">
        <f t="shared" si="0"/>
        <v>116</v>
      </c>
      <c r="C15" s="165">
        <f>SUM(D15:BJ15)</f>
        <v>116</v>
      </c>
      <c r="D15" s="111"/>
      <c r="E15" s="112"/>
      <c r="F15" s="113">
        <v>1</v>
      </c>
      <c r="G15" s="109"/>
      <c r="H15" s="114"/>
      <c r="I15" s="115"/>
      <c r="J15" s="115"/>
      <c r="K15" s="114"/>
      <c r="L15" s="109">
        <v>6</v>
      </c>
      <c r="M15" s="109"/>
      <c r="N15" s="109"/>
      <c r="O15" s="109"/>
      <c r="P15" s="115"/>
      <c r="Q15" s="111">
        <v>23</v>
      </c>
      <c r="R15" s="109"/>
      <c r="S15" s="109">
        <v>2</v>
      </c>
      <c r="T15" s="109"/>
      <c r="U15" s="109">
        <f>0+5</f>
        <v>5</v>
      </c>
      <c r="V15" s="109"/>
      <c r="W15" s="109"/>
      <c r="X15" s="114"/>
      <c r="Y15" s="113">
        <f>14+1</f>
        <v>15</v>
      </c>
      <c r="Z15" s="109"/>
      <c r="AA15" s="109">
        <v>1</v>
      </c>
      <c r="AB15" s="109"/>
      <c r="AC15" s="109">
        <v>1</v>
      </c>
      <c r="AD15" s="279"/>
      <c r="AE15" s="279"/>
      <c r="AF15" s="279"/>
      <c r="AG15" s="279"/>
      <c r="AH15" s="279"/>
      <c r="AI15" s="279"/>
      <c r="AJ15" s="279">
        <f>0+4+1</f>
        <v>5</v>
      </c>
      <c r="AK15" s="284"/>
      <c r="AL15" s="285"/>
      <c r="AM15" s="279">
        <f>24+2</f>
        <v>26</v>
      </c>
      <c r="AN15" s="279"/>
      <c r="AO15" s="279"/>
      <c r="AP15" s="279"/>
      <c r="AQ15" s="279">
        <v>1</v>
      </c>
      <c r="AR15" s="279"/>
      <c r="AS15" s="279">
        <v>1</v>
      </c>
      <c r="AT15" s="285"/>
      <c r="AU15" s="279">
        <v>18</v>
      </c>
      <c r="AV15" s="279">
        <f>0+4+1</f>
        <v>5</v>
      </c>
      <c r="AW15" s="279"/>
      <c r="AX15" s="279">
        <v>3</v>
      </c>
      <c r="AY15" s="279">
        <v>3</v>
      </c>
      <c r="AZ15" s="285"/>
      <c r="BA15" s="286"/>
      <c r="BB15" s="279"/>
      <c r="BC15" s="286"/>
      <c r="BD15" s="279"/>
      <c r="BE15" s="279"/>
      <c r="BF15" s="279"/>
      <c r="BG15" s="279"/>
      <c r="BH15" s="279"/>
      <c r="BI15" s="285"/>
      <c r="BJ15" s="287"/>
      <c r="BK15" s="279"/>
      <c r="BL15" s="283"/>
      <c r="BM15" s="377"/>
      <c r="BN15" s="469"/>
      <c r="BO15" s="469"/>
      <c r="BP15" s="469"/>
      <c r="BQ15" s="469"/>
      <c r="BR15" s="469"/>
      <c r="BS15" s="469"/>
      <c r="BT15" s="469"/>
      <c r="BU15" s="469"/>
      <c r="BV15" s="469"/>
      <c r="BW15" s="469"/>
      <c r="BX15" s="469"/>
      <c r="BY15" s="469"/>
    </row>
    <row r="16" spans="1:90" s="87" customFormat="1" ht="39.950000000000003" customHeight="1" x14ac:dyDescent="0.15">
      <c r="A16" s="172" t="s">
        <v>233</v>
      </c>
      <c r="B16" s="209">
        <f t="shared" si="0"/>
        <v>143</v>
      </c>
      <c r="C16" s="212">
        <f>SUM(D16:BJ16)</f>
        <v>143</v>
      </c>
      <c r="D16" s="211"/>
      <c r="E16" s="219">
        <f>1-1</f>
        <v>0</v>
      </c>
      <c r="F16" s="213">
        <f>0+1</f>
        <v>1</v>
      </c>
      <c r="G16" s="197"/>
      <c r="H16" s="210"/>
      <c r="I16" s="198"/>
      <c r="J16" s="198"/>
      <c r="K16" s="210"/>
      <c r="L16" s="197">
        <v>7</v>
      </c>
      <c r="M16" s="197"/>
      <c r="N16" s="197"/>
      <c r="O16" s="197"/>
      <c r="P16" s="198"/>
      <c r="Q16" s="211">
        <v>29</v>
      </c>
      <c r="R16" s="197"/>
      <c r="S16" s="197">
        <v>2</v>
      </c>
      <c r="T16" s="197"/>
      <c r="U16" s="197">
        <f>0+6</f>
        <v>6</v>
      </c>
      <c r="V16" s="197"/>
      <c r="W16" s="197"/>
      <c r="X16" s="210"/>
      <c r="Y16" s="213">
        <v>22</v>
      </c>
      <c r="Z16" s="197"/>
      <c r="AA16" s="197">
        <v>1</v>
      </c>
      <c r="AB16" s="197">
        <v>2</v>
      </c>
      <c r="AC16" s="197">
        <v>1</v>
      </c>
      <c r="AD16" s="288"/>
      <c r="AE16" s="288"/>
      <c r="AF16" s="288"/>
      <c r="AG16" s="288"/>
      <c r="AH16" s="288"/>
      <c r="AI16" s="288"/>
      <c r="AJ16" s="288">
        <f>0+5+1</f>
        <v>6</v>
      </c>
      <c r="AK16" s="289"/>
      <c r="AL16" s="290"/>
      <c r="AM16" s="288">
        <f>27+2</f>
        <v>29</v>
      </c>
      <c r="AN16" s="288"/>
      <c r="AO16" s="288"/>
      <c r="AP16" s="288"/>
      <c r="AQ16" s="288">
        <v>1</v>
      </c>
      <c r="AR16" s="288">
        <v>2</v>
      </c>
      <c r="AS16" s="288">
        <v>1</v>
      </c>
      <c r="AT16" s="290"/>
      <c r="AU16" s="288">
        <v>21</v>
      </c>
      <c r="AV16" s="288">
        <f>0+5+1</f>
        <v>6</v>
      </c>
      <c r="AW16" s="288"/>
      <c r="AX16" s="288">
        <v>2</v>
      </c>
      <c r="AY16" s="288">
        <v>4</v>
      </c>
      <c r="AZ16" s="290"/>
      <c r="BA16" s="291"/>
      <c r="BB16" s="288"/>
      <c r="BC16" s="291">
        <v>0</v>
      </c>
      <c r="BD16" s="288"/>
      <c r="BE16" s="288"/>
      <c r="BF16" s="288"/>
      <c r="BG16" s="288"/>
      <c r="BH16" s="288">
        <v>0</v>
      </c>
      <c r="BI16" s="290"/>
      <c r="BJ16" s="292"/>
      <c r="BK16" s="288"/>
      <c r="BL16" s="293"/>
      <c r="BM16" s="468"/>
      <c r="BN16" s="470"/>
      <c r="BO16" s="470"/>
      <c r="BP16" s="470"/>
      <c r="BQ16" s="470"/>
      <c r="BR16" s="470"/>
      <c r="BS16" s="470"/>
      <c r="BT16" s="470"/>
      <c r="BU16" s="470"/>
      <c r="BV16" s="470"/>
      <c r="BW16" s="470"/>
      <c r="BX16" s="470"/>
    </row>
    <row r="17" spans="1:83" s="24" customFormat="1" ht="39.950000000000003" customHeight="1" x14ac:dyDescent="0.15">
      <c r="A17" s="218" t="s">
        <v>256</v>
      </c>
      <c r="B17" s="128">
        <f>C17</f>
        <v>24</v>
      </c>
      <c r="C17" s="164">
        <f>SUM(D17:BO17)</f>
        <v>24</v>
      </c>
      <c r="D17" s="103"/>
      <c r="E17" s="214"/>
      <c r="F17" s="191">
        <f>SUM(F18:F19)</f>
        <v>2</v>
      </c>
      <c r="G17" s="106"/>
      <c r="H17" s="107"/>
      <c r="I17" s="105"/>
      <c r="J17" s="106"/>
      <c r="K17" s="107"/>
      <c r="L17" s="106">
        <f t="shared" ref="L17:BL17" si="61">SUM(L18:L19)</f>
        <v>4</v>
      </c>
      <c r="M17" s="106"/>
      <c r="N17" s="106"/>
      <c r="O17" s="106"/>
      <c r="P17" s="107"/>
      <c r="Q17" s="103"/>
      <c r="R17" s="106"/>
      <c r="S17" s="106"/>
      <c r="T17" s="106">
        <f>SUM(T18:T19)</f>
        <v>6</v>
      </c>
      <c r="U17" s="106"/>
      <c r="V17" s="106"/>
      <c r="W17" s="106"/>
      <c r="X17" s="107"/>
      <c r="Y17" s="106">
        <f t="shared" si="61"/>
        <v>4</v>
      </c>
      <c r="Z17" s="106"/>
      <c r="AA17" s="106"/>
      <c r="AB17" s="106"/>
      <c r="AC17" s="106"/>
      <c r="AD17" s="106"/>
      <c r="AE17" s="106"/>
      <c r="AF17" s="106"/>
      <c r="AG17" s="106"/>
      <c r="AH17" s="106"/>
      <c r="AI17" s="106"/>
      <c r="AJ17" s="106"/>
      <c r="AK17" s="106"/>
      <c r="AL17" s="107"/>
      <c r="AM17" s="106">
        <f t="shared" si="61"/>
        <v>2</v>
      </c>
      <c r="AN17" s="106"/>
      <c r="AO17" s="106"/>
      <c r="AP17" s="106"/>
      <c r="AQ17" s="106"/>
      <c r="AR17" s="106"/>
      <c r="AS17" s="106"/>
      <c r="AT17" s="107"/>
      <c r="AU17" s="106"/>
      <c r="AV17" s="106"/>
      <c r="AW17" s="106"/>
      <c r="AX17" s="106"/>
      <c r="AY17" s="106"/>
      <c r="AZ17" s="107"/>
      <c r="BA17" s="106"/>
      <c r="BB17" s="220">
        <f t="shared" si="61"/>
        <v>2</v>
      </c>
      <c r="BC17" s="105"/>
      <c r="BD17" s="106"/>
      <c r="BE17" s="106"/>
      <c r="BF17" s="106"/>
      <c r="BG17" s="106"/>
      <c r="BH17" s="106"/>
      <c r="BI17" s="107"/>
      <c r="BJ17" s="104"/>
      <c r="BK17" s="106">
        <f t="shared" si="61"/>
        <v>2</v>
      </c>
      <c r="BL17" s="360">
        <f t="shared" si="61"/>
        <v>2</v>
      </c>
      <c r="BM17" s="168"/>
    </row>
    <row r="18" spans="1:83" s="16" customFormat="1" ht="39.950000000000003" customHeight="1" x14ac:dyDescent="0.15">
      <c r="A18" s="110" t="s">
        <v>253</v>
      </c>
      <c r="B18" s="116">
        <f t="shared" ref="B18:B19" si="62">C18</f>
        <v>12</v>
      </c>
      <c r="C18" s="165">
        <f>SUM(D18:BL18)</f>
        <v>12</v>
      </c>
      <c r="D18" s="111"/>
      <c r="E18" s="215"/>
      <c r="F18" s="111">
        <f>0+1</f>
        <v>1</v>
      </c>
      <c r="G18" s="109"/>
      <c r="H18" s="114"/>
      <c r="I18" s="115"/>
      <c r="J18" s="115"/>
      <c r="K18" s="114"/>
      <c r="L18" s="109">
        <f>0+2</f>
        <v>2</v>
      </c>
      <c r="M18" s="109"/>
      <c r="N18" s="109"/>
      <c r="O18" s="109"/>
      <c r="P18" s="115"/>
      <c r="Q18" s="111"/>
      <c r="R18" s="109"/>
      <c r="S18" s="109"/>
      <c r="T18" s="109">
        <f>0+3</f>
        <v>3</v>
      </c>
      <c r="U18" s="109"/>
      <c r="V18" s="109"/>
      <c r="W18" s="109"/>
      <c r="X18" s="114"/>
      <c r="Y18" s="109">
        <f>0+2</f>
        <v>2</v>
      </c>
      <c r="Z18" s="109"/>
      <c r="AA18" s="109"/>
      <c r="AB18" s="109"/>
      <c r="AC18" s="109"/>
      <c r="AD18" s="109"/>
      <c r="AE18" s="109"/>
      <c r="AF18" s="109"/>
      <c r="AG18" s="109"/>
      <c r="AH18" s="109"/>
      <c r="AI18" s="109"/>
      <c r="AJ18" s="109"/>
      <c r="AK18" s="115"/>
      <c r="AL18" s="114"/>
      <c r="AM18" s="109">
        <f>0+1</f>
        <v>1</v>
      </c>
      <c r="AN18" s="109"/>
      <c r="AO18" s="109"/>
      <c r="AP18" s="109"/>
      <c r="AQ18" s="109"/>
      <c r="AR18" s="109"/>
      <c r="AS18" s="109"/>
      <c r="AT18" s="114"/>
      <c r="AU18" s="111"/>
      <c r="AV18" s="109"/>
      <c r="AW18" s="109"/>
      <c r="AX18" s="109"/>
      <c r="AY18" s="109"/>
      <c r="AZ18" s="114"/>
      <c r="BA18" s="111"/>
      <c r="BB18" s="114">
        <f>0+1</f>
        <v>1</v>
      </c>
      <c r="BC18" s="113"/>
      <c r="BD18" s="109"/>
      <c r="BE18" s="109"/>
      <c r="BF18" s="109"/>
      <c r="BG18" s="109"/>
      <c r="BH18" s="109"/>
      <c r="BI18" s="114"/>
      <c r="BJ18" s="203"/>
      <c r="BK18" s="109">
        <f t="shared" ref="BK18:BL19" si="63">0+1</f>
        <v>1</v>
      </c>
      <c r="BL18" s="205">
        <f t="shared" si="63"/>
        <v>1</v>
      </c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207"/>
      <c r="CD18" s="207"/>
      <c r="CE18" s="207"/>
    </row>
    <row r="19" spans="1:83" s="16" customFormat="1" ht="39.950000000000003" customHeight="1" thickBot="1" x14ac:dyDescent="0.2">
      <c r="A19" s="117" t="s">
        <v>254</v>
      </c>
      <c r="B19" s="334">
        <f t="shared" si="62"/>
        <v>12</v>
      </c>
      <c r="C19" s="335">
        <f>SUM(D19:BL19)</f>
        <v>12</v>
      </c>
      <c r="D19" s="118"/>
      <c r="E19" s="216"/>
      <c r="F19" s="118">
        <f>0+1</f>
        <v>1</v>
      </c>
      <c r="G19" s="336"/>
      <c r="H19" s="337"/>
      <c r="I19" s="338"/>
      <c r="J19" s="338"/>
      <c r="K19" s="337"/>
      <c r="L19" s="336">
        <f>0+2</f>
        <v>2</v>
      </c>
      <c r="M19" s="336"/>
      <c r="N19" s="336"/>
      <c r="O19" s="336"/>
      <c r="P19" s="338"/>
      <c r="Q19" s="118"/>
      <c r="R19" s="336"/>
      <c r="S19" s="336"/>
      <c r="T19" s="336">
        <f>0+3</f>
        <v>3</v>
      </c>
      <c r="U19" s="336"/>
      <c r="V19" s="336"/>
      <c r="W19" s="336"/>
      <c r="X19" s="337"/>
      <c r="Y19" s="336">
        <f>0+2</f>
        <v>2</v>
      </c>
      <c r="Z19" s="336"/>
      <c r="AA19" s="336"/>
      <c r="AB19" s="336"/>
      <c r="AC19" s="336"/>
      <c r="AD19" s="336"/>
      <c r="AE19" s="336"/>
      <c r="AF19" s="336"/>
      <c r="AG19" s="336"/>
      <c r="AH19" s="336"/>
      <c r="AI19" s="336"/>
      <c r="AJ19" s="336"/>
      <c r="AK19" s="338"/>
      <c r="AL19" s="337"/>
      <c r="AM19" s="336">
        <f>0+1</f>
        <v>1</v>
      </c>
      <c r="AN19" s="336"/>
      <c r="AO19" s="336"/>
      <c r="AP19" s="336"/>
      <c r="AQ19" s="336"/>
      <c r="AR19" s="336"/>
      <c r="AS19" s="336"/>
      <c r="AT19" s="337"/>
      <c r="AU19" s="336"/>
      <c r="AV19" s="336"/>
      <c r="AW19" s="336"/>
      <c r="AX19" s="336"/>
      <c r="AY19" s="336"/>
      <c r="AZ19" s="337"/>
      <c r="BA19" s="118"/>
      <c r="BB19" s="337">
        <f>0+1</f>
        <v>1</v>
      </c>
      <c r="BC19" s="361"/>
      <c r="BD19" s="336"/>
      <c r="BE19" s="336"/>
      <c r="BF19" s="336"/>
      <c r="BG19" s="336"/>
      <c r="BH19" s="336"/>
      <c r="BI19" s="337"/>
      <c r="BJ19" s="362"/>
      <c r="BK19" s="336">
        <f t="shared" si="63"/>
        <v>1</v>
      </c>
      <c r="BL19" s="339">
        <f t="shared" si="63"/>
        <v>1</v>
      </c>
      <c r="BM19" s="468"/>
      <c r="BN19" s="468"/>
      <c r="BO19" s="468"/>
      <c r="BP19" s="468"/>
      <c r="BQ19" s="468"/>
      <c r="BR19" s="468"/>
      <c r="BS19" s="207"/>
      <c r="BT19" s="207"/>
      <c r="BU19" s="207"/>
      <c r="BV19" s="207"/>
      <c r="BW19" s="207"/>
      <c r="BX19" s="207"/>
      <c r="BY19" s="207"/>
      <c r="BZ19" s="207"/>
      <c r="CA19" s="207"/>
      <c r="CB19" s="207"/>
      <c r="CC19" s="207"/>
      <c r="CD19" s="207"/>
      <c r="CE19" s="207"/>
    </row>
    <row r="20" spans="1:83" s="16" customFormat="1" ht="30" customHeight="1" x14ac:dyDescent="0.15">
      <c r="AA20" s="21"/>
      <c r="AB20" s="21"/>
      <c r="AC20" s="21"/>
    </row>
    <row r="21" spans="1:83" s="16" customFormat="1" ht="30" customHeight="1" x14ac:dyDescent="0.15">
      <c r="AA21" s="21"/>
      <c r="AB21" s="21"/>
      <c r="AC21" s="21"/>
    </row>
    <row r="22" spans="1:83" ht="30" customHeight="1" x14ac:dyDescent="0.15"/>
    <row r="23" spans="1:83" ht="30" customHeight="1" x14ac:dyDescent="0.15"/>
    <row r="24" spans="1:83" ht="30" customHeight="1" x14ac:dyDescent="0.15"/>
    <row r="25" spans="1:83" ht="30" customHeight="1" x14ac:dyDescent="0.15"/>
    <row r="26" spans="1:83" ht="30" customHeight="1" x14ac:dyDescent="0.15"/>
    <row r="27" spans="1:83" ht="30" customHeight="1" x14ac:dyDescent="0.15"/>
    <row r="28" spans="1:83" ht="30" customHeight="1" x14ac:dyDescent="0.15"/>
    <row r="29" spans="1:83" ht="30" customHeight="1" x14ac:dyDescent="0.15"/>
    <row r="30" spans="1:83" ht="30" customHeight="1" x14ac:dyDescent="0.15"/>
    <row r="31" spans="1:83" ht="30" customHeight="1" x14ac:dyDescent="0.15"/>
    <row r="32" spans="1:83" ht="30" customHeight="1" x14ac:dyDescent="0.15"/>
    <row r="33" ht="30" customHeight="1" x14ac:dyDescent="0.15"/>
    <row r="34" ht="30" customHeight="1" x14ac:dyDescent="0.15"/>
    <row r="35" ht="30" customHeight="1" x14ac:dyDescent="0.15"/>
    <row r="36" ht="30" customHeight="1" x14ac:dyDescent="0.15"/>
    <row r="37" ht="30" customHeight="1" x14ac:dyDescent="0.15"/>
    <row r="38" ht="30" customHeight="1" x14ac:dyDescent="0.15"/>
    <row r="39" ht="30" customHeight="1" x14ac:dyDescent="0.15"/>
  </sheetData>
  <mergeCells count="23">
    <mergeCell ref="BM18:CB18"/>
    <mergeCell ref="BM19:BR19"/>
    <mergeCell ref="BM15:BY15"/>
    <mergeCell ref="BM16:BX16"/>
    <mergeCell ref="BK5:BL5"/>
    <mergeCell ref="BM13:CI13"/>
    <mergeCell ref="BM14:CA14"/>
    <mergeCell ref="BM12:CL12"/>
    <mergeCell ref="AU5:AZ5"/>
    <mergeCell ref="BA5:BB5"/>
    <mergeCell ref="BC5:BI5"/>
    <mergeCell ref="BK4:BL4"/>
    <mergeCell ref="A2:BJ2"/>
    <mergeCell ref="A4:A6"/>
    <mergeCell ref="B4:B6"/>
    <mergeCell ref="C4:BJ4"/>
    <mergeCell ref="C5:C6"/>
    <mergeCell ref="F5:H5"/>
    <mergeCell ref="I5:K5"/>
    <mergeCell ref="L5:P5"/>
    <mergeCell ref="Y5:AL5"/>
    <mergeCell ref="AM5:AT5"/>
    <mergeCell ref="Q5:X5"/>
  </mergeCells>
  <phoneticPr fontId="1" type="noConversion"/>
  <pageMargins left="0.15748031496062992" right="0.15748031496062992" top="0.51" bottom="0.19685039370078741" header="0.89" footer="0.51181102362204722"/>
  <pageSetup paperSize="9" scale="40" orientation="landscape" r:id="rId1"/>
  <headerFooter scaleWithDoc="0" alignWithMargins="0"/>
  <ignoredErrors>
    <ignoredError sqref="C11 U15 F17" formula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27"/>
  <sheetViews>
    <sheetView view="pageBreakPreview" zoomScale="55" zoomScaleNormal="70" zoomScaleSheetLayoutView="55" workbookViewId="0">
      <selection activeCell="A3" sqref="A3"/>
    </sheetView>
  </sheetViews>
  <sheetFormatPr defaultColWidth="4.77734375" defaultRowHeight="12" x14ac:dyDescent="0.15"/>
  <cols>
    <col min="1" max="1" width="26.21875" style="14" bestFit="1" customWidth="1"/>
    <col min="2" max="2" width="6.33203125" style="14" customWidth="1"/>
    <col min="3" max="3" width="7.5546875" style="14" bestFit="1" customWidth="1"/>
    <col min="4" max="4" width="5" style="14" bestFit="1" customWidth="1"/>
    <col min="5" max="5" width="4.44140625" style="14" bestFit="1" customWidth="1"/>
    <col min="6" max="8" width="3.5546875" style="14" customWidth="1"/>
    <col min="9" max="11" width="5.21875" style="14" bestFit="1" customWidth="1"/>
    <col min="12" max="13" width="4.6640625" style="14" bestFit="1" customWidth="1"/>
    <col min="14" max="14" width="4.6640625" style="14" customWidth="1"/>
    <col min="15" max="15" width="3.5546875" style="14" customWidth="1"/>
    <col min="16" max="16" width="5.21875" style="14" bestFit="1" customWidth="1"/>
    <col min="17" max="17" width="5.77734375" style="14" bestFit="1" customWidth="1"/>
    <col min="18" max="18" width="3.5546875" style="14" bestFit="1" customWidth="1"/>
    <col min="19" max="19" width="4.6640625" style="14" bestFit="1" customWidth="1"/>
    <col min="20" max="20" width="4.33203125" style="14" bestFit="1" customWidth="1"/>
    <col min="21" max="21" width="5.5546875" style="14" bestFit="1" customWidth="1"/>
    <col min="22" max="22" width="4.33203125" style="14" bestFit="1" customWidth="1"/>
    <col min="23" max="23" width="4.6640625" style="14" bestFit="1" customWidth="1"/>
    <col min="24" max="25" width="3.5546875" style="14" bestFit="1" customWidth="1"/>
    <col min="26" max="26" width="3.5546875" style="14" customWidth="1"/>
    <col min="27" max="27" width="5.77734375" style="14" bestFit="1" customWidth="1"/>
    <col min="28" max="30" width="3.5546875" style="20" bestFit="1" customWidth="1"/>
    <col min="31" max="33" width="3.5546875" style="14" bestFit="1" customWidth="1"/>
    <col min="34" max="34" width="4.6640625" style="14" bestFit="1" customWidth="1"/>
    <col min="35" max="37" width="3.5546875" style="14" bestFit="1" customWidth="1"/>
    <col min="38" max="38" width="4.6640625" style="14" bestFit="1" customWidth="1"/>
    <col min="39" max="39" width="3.5546875" style="14" bestFit="1" customWidth="1"/>
    <col min="40" max="40" width="4.6640625" style="14" bestFit="1" customWidth="1"/>
    <col min="41" max="41" width="5.77734375" style="14" bestFit="1" customWidth="1"/>
    <col min="42" max="43" width="4.5546875" style="14" customWidth="1"/>
    <col min="44" max="44" width="4.6640625" style="14" bestFit="1" customWidth="1"/>
    <col min="45" max="46" width="3.5546875" style="14" bestFit="1" customWidth="1"/>
    <col min="47" max="47" width="4.6640625" style="14" bestFit="1" customWidth="1"/>
    <col min="48" max="48" width="3.5546875" style="14" bestFit="1" customWidth="1"/>
    <col min="49" max="49" width="5.77734375" style="14" bestFit="1" customWidth="1"/>
    <col min="50" max="50" width="4.6640625" style="14" bestFit="1" customWidth="1"/>
    <col min="51" max="51" width="3.5546875" style="14" bestFit="1" customWidth="1"/>
    <col min="52" max="53" width="4.6640625" style="14" bestFit="1" customWidth="1"/>
    <col min="54" max="55" width="3.5546875" style="14" bestFit="1" customWidth="1"/>
    <col min="56" max="56" width="4.6640625" style="14" bestFit="1" customWidth="1"/>
    <col min="57" max="58" width="3.5546875" style="14" bestFit="1" customWidth="1"/>
    <col min="59" max="59" width="4.6640625" style="14" bestFit="1" customWidth="1"/>
    <col min="60" max="63" width="3.5546875" style="14" bestFit="1" customWidth="1"/>
    <col min="64" max="64" width="6.6640625" style="14" bestFit="1" customWidth="1"/>
    <col min="65" max="66" width="4" style="14" customWidth="1"/>
    <col min="67" max="16384" width="4.77734375" style="14"/>
  </cols>
  <sheetData>
    <row r="1" spans="1:92" ht="16.5" customHeight="1" x14ac:dyDescent="0.2">
      <c r="A1" s="13" t="s">
        <v>30</v>
      </c>
    </row>
    <row r="2" spans="1:92" s="15" customFormat="1" ht="30" customHeight="1" x14ac:dyDescent="0.3">
      <c r="A2" s="480" t="s">
        <v>31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480"/>
      <c r="V2" s="480"/>
      <c r="W2" s="480"/>
      <c r="X2" s="480"/>
      <c r="Y2" s="480"/>
      <c r="Z2" s="480"/>
      <c r="AA2" s="480"/>
      <c r="AB2" s="480"/>
      <c r="AC2" s="480"/>
      <c r="AD2" s="480"/>
      <c r="AE2" s="480"/>
      <c r="AF2" s="480"/>
      <c r="AG2" s="480"/>
      <c r="AH2" s="480"/>
      <c r="AI2" s="480"/>
      <c r="AJ2" s="480"/>
      <c r="AK2" s="480"/>
      <c r="AL2" s="480"/>
      <c r="AM2" s="480"/>
      <c r="AN2" s="480"/>
      <c r="AO2" s="480"/>
      <c r="AP2" s="480"/>
      <c r="AQ2" s="480"/>
      <c r="AR2" s="480"/>
      <c r="AS2" s="480"/>
      <c r="AT2" s="480"/>
      <c r="AU2" s="480"/>
      <c r="AV2" s="480"/>
      <c r="AW2" s="480"/>
      <c r="AX2" s="480"/>
      <c r="AY2" s="480"/>
      <c r="AZ2" s="480"/>
      <c r="BA2" s="480"/>
      <c r="BB2" s="480"/>
      <c r="BC2" s="480"/>
      <c r="BD2" s="480"/>
      <c r="BE2" s="480"/>
      <c r="BF2" s="480"/>
      <c r="BG2" s="480"/>
      <c r="BH2" s="480"/>
      <c r="BI2" s="480"/>
      <c r="BJ2" s="480"/>
      <c r="BK2" s="480"/>
      <c r="BL2" s="480"/>
      <c r="BM2" s="170"/>
      <c r="BN2" s="170"/>
    </row>
    <row r="3" spans="1:92" ht="30" customHeight="1" thickBot="1" x14ac:dyDescent="0.2">
      <c r="A3" s="166" t="s">
        <v>265</v>
      </c>
    </row>
    <row r="4" spans="1:92" s="78" customFormat="1" ht="30" customHeight="1" x14ac:dyDescent="0.15">
      <c r="A4" s="481" t="s">
        <v>98</v>
      </c>
      <c r="B4" s="484" t="s">
        <v>99</v>
      </c>
      <c r="C4" s="487" t="s">
        <v>100</v>
      </c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  <c r="R4" s="488"/>
      <c r="S4" s="488"/>
      <c r="T4" s="488"/>
      <c r="U4" s="488"/>
      <c r="V4" s="488"/>
      <c r="W4" s="488"/>
      <c r="X4" s="488"/>
      <c r="Y4" s="488"/>
      <c r="Z4" s="488"/>
      <c r="AA4" s="488"/>
      <c r="AB4" s="488"/>
      <c r="AC4" s="488"/>
      <c r="AD4" s="488"/>
      <c r="AE4" s="488"/>
      <c r="AF4" s="488"/>
      <c r="AG4" s="488"/>
      <c r="AH4" s="488"/>
      <c r="AI4" s="488"/>
      <c r="AJ4" s="488"/>
      <c r="AK4" s="488"/>
      <c r="AL4" s="488"/>
      <c r="AM4" s="488"/>
      <c r="AN4" s="488"/>
      <c r="AO4" s="488"/>
      <c r="AP4" s="488"/>
      <c r="AQ4" s="488"/>
      <c r="AR4" s="488"/>
      <c r="AS4" s="488"/>
      <c r="AT4" s="488"/>
      <c r="AU4" s="488"/>
      <c r="AV4" s="488"/>
      <c r="AW4" s="488"/>
      <c r="AX4" s="488"/>
      <c r="AY4" s="488"/>
      <c r="AZ4" s="488"/>
      <c r="BA4" s="488"/>
      <c r="BB4" s="488"/>
      <c r="BC4" s="488"/>
      <c r="BD4" s="488"/>
      <c r="BE4" s="488"/>
      <c r="BF4" s="488"/>
      <c r="BG4" s="488"/>
      <c r="BH4" s="488"/>
      <c r="BI4" s="488"/>
      <c r="BJ4" s="488"/>
      <c r="BK4" s="488"/>
      <c r="BL4" s="489"/>
      <c r="BM4" s="474"/>
      <c r="BN4" s="475"/>
    </row>
    <row r="5" spans="1:92" s="78" customFormat="1" ht="29.25" customHeight="1" x14ac:dyDescent="0.15">
      <c r="A5" s="482"/>
      <c r="B5" s="485"/>
      <c r="C5" s="454" t="s">
        <v>101</v>
      </c>
      <c r="D5" s="348" t="s">
        <v>102</v>
      </c>
      <c r="E5" s="142" t="s">
        <v>103</v>
      </c>
      <c r="F5" s="456" t="s">
        <v>104</v>
      </c>
      <c r="G5" s="457"/>
      <c r="H5" s="458"/>
      <c r="I5" s="459" t="s">
        <v>105</v>
      </c>
      <c r="J5" s="459"/>
      <c r="K5" s="458"/>
      <c r="L5" s="457" t="s">
        <v>40</v>
      </c>
      <c r="M5" s="457"/>
      <c r="N5" s="457"/>
      <c r="O5" s="457"/>
      <c r="P5" s="459"/>
      <c r="Q5" s="491" t="s">
        <v>24</v>
      </c>
      <c r="R5" s="492"/>
      <c r="S5" s="492"/>
      <c r="T5" s="492"/>
      <c r="U5" s="492"/>
      <c r="V5" s="492"/>
      <c r="W5" s="492"/>
      <c r="X5" s="492"/>
      <c r="Y5" s="492"/>
      <c r="Z5" s="492"/>
      <c r="AA5" s="465" t="s">
        <v>106</v>
      </c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90"/>
      <c r="AN5" s="467"/>
      <c r="AO5" s="437" t="s">
        <v>25</v>
      </c>
      <c r="AP5" s="437"/>
      <c r="AQ5" s="437"/>
      <c r="AR5" s="437"/>
      <c r="AS5" s="437"/>
      <c r="AT5" s="437"/>
      <c r="AU5" s="437"/>
      <c r="AV5" s="438"/>
      <c r="AW5" s="436" t="s">
        <v>107</v>
      </c>
      <c r="AX5" s="437"/>
      <c r="AY5" s="437"/>
      <c r="AZ5" s="437"/>
      <c r="BA5" s="437"/>
      <c r="BB5" s="438"/>
      <c r="BC5" s="465" t="s">
        <v>41</v>
      </c>
      <c r="BD5" s="467"/>
      <c r="BE5" s="478" t="s">
        <v>65</v>
      </c>
      <c r="BF5" s="478"/>
      <c r="BG5" s="478"/>
      <c r="BH5" s="478"/>
      <c r="BI5" s="478"/>
      <c r="BJ5" s="478"/>
      <c r="BK5" s="479"/>
      <c r="BL5" s="193" t="s">
        <v>108</v>
      </c>
      <c r="BM5" s="471" t="s">
        <v>259</v>
      </c>
      <c r="BN5" s="472"/>
    </row>
    <row r="6" spans="1:92" s="78" customFormat="1" ht="302.10000000000002" customHeight="1" thickBot="1" x14ac:dyDescent="0.2">
      <c r="A6" s="483"/>
      <c r="B6" s="486"/>
      <c r="C6" s="455"/>
      <c r="D6" s="146" t="s">
        <v>42</v>
      </c>
      <c r="E6" s="147" t="s">
        <v>151</v>
      </c>
      <c r="F6" s="148" t="s">
        <v>152</v>
      </c>
      <c r="G6" s="149" t="s">
        <v>153</v>
      </c>
      <c r="H6" s="150" t="s">
        <v>154</v>
      </c>
      <c r="I6" s="151" t="s">
        <v>155</v>
      </c>
      <c r="J6" s="151" t="s">
        <v>224</v>
      </c>
      <c r="K6" s="150" t="s">
        <v>156</v>
      </c>
      <c r="L6" s="149" t="s">
        <v>70</v>
      </c>
      <c r="M6" s="149" t="s">
        <v>71</v>
      </c>
      <c r="N6" s="149" t="s">
        <v>249</v>
      </c>
      <c r="O6" s="149" t="s">
        <v>43</v>
      </c>
      <c r="P6" s="151" t="s">
        <v>72</v>
      </c>
      <c r="Q6" s="146" t="s">
        <v>44</v>
      </c>
      <c r="R6" s="149" t="s">
        <v>73</v>
      </c>
      <c r="S6" s="149" t="s">
        <v>109</v>
      </c>
      <c r="T6" s="149" t="s">
        <v>261</v>
      </c>
      <c r="U6" s="149" t="s">
        <v>74</v>
      </c>
      <c r="V6" s="149" t="s">
        <v>75</v>
      </c>
      <c r="W6" s="149" t="s">
        <v>76</v>
      </c>
      <c r="X6" s="149" t="s">
        <v>77</v>
      </c>
      <c r="Y6" s="149" t="s">
        <v>66</v>
      </c>
      <c r="Z6" s="149" t="s">
        <v>78</v>
      </c>
      <c r="AA6" s="146" t="s">
        <v>79</v>
      </c>
      <c r="AB6" s="149" t="s">
        <v>45</v>
      </c>
      <c r="AC6" s="149" t="s">
        <v>80</v>
      </c>
      <c r="AD6" s="149" t="s">
        <v>81</v>
      </c>
      <c r="AE6" s="149" t="s">
        <v>82</v>
      </c>
      <c r="AF6" s="149" t="s">
        <v>83</v>
      </c>
      <c r="AG6" s="149" t="s">
        <v>110</v>
      </c>
      <c r="AH6" s="149" t="s">
        <v>84</v>
      </c>
      <c r="AI6" s="149" t="s">
        <v>85</v>
      </c>
      <c r="AJ6" s="149" t="s">
        <v>86</v>
      </c>
      <c r="AK6" s="149" t="s">
        <v>87</v>
      </c>
      <c r="AL6" s="149" t="s">
        <v>88</v>
      </c>
      <c r="AM6" s="151" t="s">
        <v>46</v>
      </c>
      <c r="AN6" s="150" t="s">
        <v>89</v>
      </c>
      <c r="AO6" s="149" t="s">
        <v>90</v>
      </c>
      <c r="AP6" s="149" t="s">
        <v>91</v>
      </c>
      <c r="AQ6" s="149" t="s">
        <v>47</v>
      </c>
      <c r="AR6" s="149" t="s">
        <v>48</v>
      </c>
      <c r="AS6" s="149" t="s">
        <v>111</v>
      </c>
      <c r="AT6" s="149" t="s">
        <v>92</v>
      </c>
      <c r="AU6" s="149" t="s">
        <v>93</v>
      </c>
      <c r="AV6" s="150" t="s">
        <v>49</v>
      </c>
      <c r="AW6" s="146" t="s">
        <v>94</v>
      </c>
      <c r="AX6" s="149" t="s">
        <v>50</v>
      </c>
      <c r="AY6" s="149" t="s">
        <v>112</v>
      </c>
      <c r="AZ6" s="149" t="s">
        <v>113</v>
      </c>
      <c r="BA6" s="149" t="s">
        <v>114</v>
      </c>
      <c r="BB6" s="150" t="s">
        <v>115</v>
      </c>
      <c r="BC6" s="146" t="s">
        <v>116</v>
      </c>
      <c r="BD6" s="150" t="s">
        <v>117</v>
      </c>
      <c r="BE6" s="148" t="s">
        <v>95</v>
      </c>
      <c r="BF6" s="152" t="s">
        <v>51</v>
      </c>
      <c r="BG6" s="152" t="s">
        <v>52</v>
      </c>
      <c r="BH6" s="152" t="s">
        <v>53</v>
      </c>
      <c r="BI6" s="152" t="s">
        <v>96</v>
      </c>
      <c r="BJ6" s="149" t="s">
        <v>54</v>
      </c>
      <c r="BK6" s="150" t="s">
        <v>19</v>
      </c>
      <c r="BL6" s="147" t="s">
        <v>55</v>
      </c>
      <c r="BM6" s="149" t="s">
        <v>257</v>
      </c>
      <c r="BN6" s="329" t="s">
        <v>258</v>
      </c>
    </row>
    <row r="7" spans="1:92" s="87" customFormat="1" ht="39.950000000000003" customHeight="1" thickTop="1" thickBot="1" x14ac:dyDescent="0.2">
      <c r="A7" s="80" t="s">
        <v>56</v>
      </c>
      <c r="B7" s="143">
        <f t="shared" ref="B7:B12" si="0">C7</f>
        <v>1166</v>
      </c>
      <c r="C7" s="144">
        <f>SUM(D7:BN7)</f>
        <v>1166</v>
      </c>
      <c r="D7" s="81">
        <f>D8+D9+D10+D11+D17</f>
        <v>4</v>
      </c>
      <c r="E7" s="82">
        <f>E8+E9+E10+E11+E17</f>
        <v>1</v>
      </c>
      <c r="F7" s="83">
        <f>F8+F9+F10+F11+F17</f>
        <v>9</v>
      </c>
      <c r="G7" s="83">
        <f t="shared" ref="G7:H7" si="1">G8+G9+G10+G11+G17</f>
        <v>1</v>
      </c>
      <c r="H7" s="85">
        <f t="shared" si="1"/>
        <v>1</v>
      </c>
      <c r="I7" s="83">
        <f>I8+I9+I10+I11+I17</f>
        <v>5</v>
      </c>
      <c r="J7" s="83">
        <f t="shared" ref="J7:K7" si="2">J8+J9+J10+J11+J17</f>
        <v>2</v>
      </c>
      <c r="K7" s="85">
        <f t="shared" si="2"/>
        <v>2</v>
      </c>
      <c r="L7" s="83">
        <f>L8+L9+L10+L11+L17</f>
        <v>45</v>
      </c>
      <c r="M7" s="84">
        <f t="shared" ref="M7:P7" si="3">M8+M9+M10+M11+M17</f>
        <v>13</v>
      </c>
      <c r="N7" s="84">
        <f t="shared" si="3"/>
        <v>1</v>
      </c>
      <c r="O7" s="84">
        <f t="shared" si="3"/>
        <v>2</v>
      </c>
      <c r="P7" s="84">
        <f t="shared" si="3"/>
        <v>1</v>
      </c>
      <c r="Q7" s="81">
        <f>Q8+Q9+Q10+Q11+Q17</f>
        <v>168</v>
      </c>
      <c r="R7" s="84">
        <f>R8+R9+R10+R11+R17</f>
        <v>3</v>
      </c>
      <c r="S7" s="84">
        <f t="shared" ref="S7:Z7" si="4">S8+S9+S10+S11+S17</f>
        <v>11</v>
      </c>
      <c r="T7" s="84">
        <f t="shared" si="4"/>
        <v>6</v>
      </c>
      <c r="U7" s="84">
        <f t="shared" si="4"/>
        <v>30</v>
      </c>
      <c r="V7" s="84">
        <f t="shared" si="4"/>
        <v>1</v>
      </c>
      <c r="W7" s="84">
        <f t="shared" si="4"/>
        <v>12</v>
      </c>
      <c r="X7" s="84">
        <f t="shared" si="4"/>
        <v>3</v>
      </c>
      <c r="Y7" s="84">
        <f t="shared" si="4"/>
        <v>1</v>
      </c>
      <c r="Z7" s="84">
        <f t="shared" si="4"/>
        <v>6</v>
      </c>
      <c r="AA7" s="81">
        <f>AA8+AA9+AA10+AA11+AA17</f>
        <v>138</v>
      </c>
      <c r="AB7" s="83">
        <f t="shared" ref="AB7:AN7" si="5">AB8+AB9+AB10+AB11+AB17</f>
        <v>6</v>
      </c>
      <c r="AC7" s="83">
        <f t="shared" si="5"/>
        <v>2</v>
      </c>
      <c r="AD7" s="83">
        <f t="shared" si="5"/>
        <v>6</v>
      </c>
      <c r="AE7" s="83">
        <f t="shared" si="5"/>
        <v>1</v>
      </c>
      <c r="AF7" s="83">
        <f t="shared" si="5"/>
        <v>8</v>
      </c>
      <c r="AG7" s="83">
        <f t="shared" si="5"/>
        <v>1</v>
      </c>
      <c r="AH7" s="83">
        <f t="shared" si="5"/>
        <v>10</v>
      </c>
      <c r="AI7" s="83">
        <f t="shared" si="5"/>
        <v>1</v>
      </c>
      <c r="AJ7" s="83">
        <f t="shared" si="5"/>
        <v>3</v>
      </c>
      <c r="AK7" s="83">
        <f t="shared" si="5"/>
        <v>1</v>
      </c>
      <c r="AL7" s="83">
        <f t="shared" si="5"/>
        <v>34</v>
      </c>
      <c r="AM7" s="83">
        <f t="shared" si="5"/>
        <v>3</v>
      </c>
      <c r="AN7" s="85">
        <f t="shared" si="5"/>
        <v>12</v>
      </c>
      <c r="AO7" s="83">
        <f>AO8+AO9+AO10+AO11+AO17</f>
        <v>205</v>
      </c>
      <c r="AP7" s="83">
        <f t="shared" ref="AP7:AV7" si="6">AP8+AP9+AP10+AP11+AP17</f>
        <v>2</v>
      </c>
      <c r="AQ7" s="83">
        <f t="shared" si="6"/>
        <v>1</v>
      </c>
      <c r="AR7" s="83">
        <f t="shared" si="6"/>
        <v>67</v>
      </c>
      <c r="AS7" s="83">
        <f t="shared" si="6"/>
        <v>6</v>
      </c>
      <c r="AT7" s="83">
        <f t="shared" si="6"/>
        <v>2</v>
      </c>
      <c r="AU7" s="83">
        <f t="shared" si="6"/>
        <v>13</v>
      </c>
      <c r="AV7" s="85">
        <f t="shared" si="6"/>
        <v>4</v>
      </c>
      <c r="AW7" s="81">
        <f>AW8+AW9+AW10+AW11+AW17</f>
        <v>148</v>
      </c>
      <c r="AX7" s="84">
        <f>AX8+AX9+AX10+AX11+AX17</f>
        <v>54</v>
      </c>
      <c r="AY7" s="84">
        <f t="shared" ref="AY7:BB7" si="7">AY8+AY9+AY10+AY11+AY17</f>
        <v>2</v>
      </c>
      <c r="AZ7" s="84">
        <f t="shared" si="7"/>
        <v>18</v>
      </c>
      <c r="BA7" s="84">
        <f t="shared" si="7"/>
        <v>39</v>
      </c>
      <c r="BB7" s="84">
        <f t="shared" si="7"/>
        <v>1</v>
      </c>
      <c r="BC7" s="81">
        <f>BC8+BC9+BC10+BC11+BC17</f>
        <v>3</v>
      </c>
      <c r="BD7" s="85">
        <f>BD8+BD9+BD10+BD11+BD17</f>
        <v>14</v>
      </c>
      <c r="BE7" s="83">
        <f>BE8+BE9+BE10+BE11+BE17</f>
        <v>1</v>
      </c>
      <c r="BF7" s="83">
        <f t="shared" ref="BF7:BK7" si="8">BF8+BF9+BF10+BF11+BF17</f>
        <v>3</v>
      </c>
      <c r="BG7" s="83">
        <f t="shared" si="8"/>
        <v>11</v>
      </c>
      <c r="BH7" s="83">
        <f t="shared" si="8"/>
        <v>2</v>
      </c>
      <c r="BI7" s="83">
        <f t="shared" si="8"/>
        <v>1</v>
      </c>
      <c r="BJ7" s="83">
        <f t="shared" si="8"/>
        <v>4</v>
      </c>
      <c r="BK7" s="85">
        <f t="shared" si="8"/>
        <v>4</v>
      </c>
      <c r="BL7" s="82">
        <f>BL8+BL9+BL10+BL11+BL17</f>
        <v>3</v>
      </c>
      <c r="BM7" s="82">
        <f t="shared" ref="BM7:BN7" si="9">BM8+BM9+BM10+BM11+BM17</f>
        <v>2</v>
      </c>
      <c r="BN7" s="330">
        <f t="shared" si="9"/>
        <v>2</v>
      </c>
    </row>
    <row r="8" spans="1:92" s="87" customFormat="1" ht="39.950000000000003" customHeight="1" thickTop="1" x14ac:dyDescent="0.15">
      <c r="A8" s="88" t="s">
        <v>57</v>
      </c>
      <c r="B8" s="89">
        <f t="shared" si="0"/>
        <v>30</v>
      </c>
      <c r="C8" s="162">
        <f t="shared" ref="C8:C16" si="10">SUM(D8:BL8)</f>
        <v>30</v>
      </c>
      <c r="D8" s="90"/>
      <c r="E8" s="91">
        <v>1</v>
      </c>
      <c r="F8" s="92">
        <v>1</v>
      </c>
      <c r="G8" s="93"/>
      <c r="H8" s="94"/>
      <c r="I8" s="95">
        <f>1+1</f>
        <v>2</v>
      </c>
      <c r="J8" s="95"/>
      <c r="K8" s="94"/>
      <c r="L8" s="93">
        <v>5</v>
      </c>
      <c r="M8" s="93"/>
      <c r="N8" s="93"/>
      <c r="O8" s="93">
        <v>1</v>
      </c>
      <c r="P8" s="95">
        <v>1</v>
      </c>
      <c r="Q8" s="90">
        <v>5</v>
      </c>
      <c r="R8" s="93"/>
      <c r="S8" s="93"/>
      <c r="T8" s="93"/>
      <c r="U8" s="93"/>
      <c r="V8" s="93"/>
      <c r="W8" s="93"/>
      <c r="X8" s="93"/>
      <c r="Y8" s="93"/>
      <c r="Z8" s="93"/>
      <c r="AA8" s="90">
        <v>1</v>
      </c>
      <c r="AB8" s="93"/>
      <c r="AC8" s="93"/>
      <c r="AD8" s="93"/>
      <c r="AE8" s="93"/>
      <c r="AF8" s="93"/>
      <c r="AG8" s="93"/>
      <c r="AH8" s="93"/>
      <c r="AI8" s="93"/>
      <c r="AJ8" s="93"/>
      <c r="AK8" s="93">
        <v>1</v>
      </c>
      <c r="AL8" s="93"/>
      <c r="AM8" s="95"/>
      <c r="AN8" s="94"/>
      <c r="AO8" s="93">
        <v>1</v>
      </c>
      <c r="AP8" s="93"/>
      <c r="AQ8" s="93"/>
      <c r="AR8" s="93"/>
      <c r="AS8" s="93"/>
      <c r="AT8" s="93"/>
      <c r="AU8" s="93"/>
      <c r="AV8" s="94"/>
      <c r="AW8" s="90">
        <v>4</v>
      </c>
      <c r="AX8" s="93"/>
      <c r="AY8" s="93">
        <v>1</v>
      </c>
      <c r="AZ8" s="93"/>
      <c r="BA8" s="93">
        <v>2</v>
      </c>
      <c r="BB8" s="94">
        <v>1</v>
      </c>
      <c r="BC8" s="90"/>
      <c r="BD8" s="94"/>
      <c r="BE8" s="92"/>
      <c r="BF8" s="93"/>
      <c r="BG8" s="93"/>
      <c r="BH8" s="93"/>
      <c r="BI8" s="93"/>
      <c r="BJ8" s="93"/>
      <c r="BK8" s="94"/>
      <c r="BL8" s="91">
        <v>3</v>
      </c>
      <c r="BM8" s="195"/>
      <c r="BN8" s="331"/>
    </row>
    <row r="9" spans="1:92" s="87" customFormat="1" ht="39.950000000000003" customHeight="1" x14ac:dyDescent="0.15">
      <c r="A9" s="96" t="s">
        <v>58</v>
      </c>
      <c r="B9" s="127">
        <f t="shared" si="0"/>
        <v>236</v>
      </c>
      <c r="C9" s="163">
        <f t="shared" si="10"/>
        <v>236</v>
      </c>
      <c r="D9" s="97">
        <v>1</v>
      </c>
      <c r="E9" s="98"/>
      <c r="F9" s="99"/>
      <c r="G9" s="79">
        <v>1</v>
      </c>
      <c r="H9" s="100"/>
      <c r="I9" s="101"/>
      <c r="J9" s="101">
        <v>2</v>
      </c>
      <c r="K9" s="100"/>
      <c r="L9" s="79"/>
      <c r="M9" s="79">
        <v>13</v>
      </c>
      <c r="N9" s="79">
        <v>1</v>
      </c>
      <c r="O9" s="79"/>
      <c r="P9" s="101"/>
      <c r="Q9" s="97">
        <v>6</v>
      </c>
      <c r="R9" s="79">
        <v>3</v>
      </c>
      <c r="S9" s="79"/>
      <c r="T9" s="79"/>
      <c r="U9" s="79">
        <f>5-1-4</f>
        <v>0</v>
      </c>
      <c r="V9" s="79">
        <v>1</v>
      </c>
      <c r="W9" s="294">
        <v>12</v>
      </c>
      <c r="X9" s="294">
        <v>3</v>
      </c>
      <c r="Y9" s="294">
        <v>1</v>
      </c>
      <c r="Z9" s="294">
        <v>1</v>
      </c>
      <c r="AA9" s="295">
        <v>10</v>
      </c>
      <c r="AB9" s="294">
        <v>1</v>
      </c>
      <c r="AC9" s="294"/>
      <c r="AD9" s="294">
        <v>1</v>
      </c>
      <c r="AE9" s="294">
        <v>1</v>
      </c>
      <c r="AF9" s="294">
        <v>3</v>
      </c>
      <c r="AG9" s="294">
        <v>1</v>
      </c>
      <c r="AH9" s="294"/>
      <c r="AI9" s="294"/>
      <c r="AJ9" s="294"/>
      <c r="AK9" s="294"/>
      <c r="AL9" s="79">
        <f>28-26</f>
        <v>2</v>
      </c>
      <c r="AM9" s="296">
        <v>3</v>
      </c>
      <c r="AN9" s="297">
        <v>12</v>
      </c>
      <c r="AO9" s="294">
        <v>7</v>
      </c>
      <c r="AP9" s="294"/>
      <c r="AQ9" s="294">
        <v>1</v>
      </c>
      <c r="AR9" s="325">
        <f>34+30+1</f>
        <v>65</v>
      </c>
      <c r="AS9" s="294"/>
      <c r="AT9" s="294"/>
      <c r="AU9" s="294">
        <v>7</v>
      </c>
      <c r="AV9" s="297">
        <v>4</v>
      </c>
      <c r="AW9" s="295">
        <v>1</v>
      </c>
      <c r="AX9" s="294">
        <v>22</v>
      </c>
      <c r="AY9" s="294"/>
      <c r="AZ9" s="294">
        <f>10+2+1</f>
        <v>13</v>
      </c>
      <c r="BA9" s="294">
        <v>20</v>
      </c>
      <c r="BB9" s="297"/>
      <c r="BC9" s="295"/>
      <c r="BD9" s="297"/>
      <c r="BE9" s="295"/>
      <c r="BF9" s="345">
        <f>4-1</f>
        <v>3</v>
      </c>
      <c r="BG9" s="294">
        <v>11</v>
      </c>
      <c r="BH9" s="294">
        <f>2-1+1</f>
        <v>2</v>
      </c>
      <c r="BI9" s="294"/>
      <c r="BJ9" s="294"/>
      <c r="BK9" s="297">
        <v>1</v>
      </c>
      <c r="BL9" s="298"/>
      <c r="BM9" s="299"/>
      <c r="BN9" s="332"/>
      <c r="BO9" s="70" t="s">
        <v>266</v>
      </c>
    </row>
    <row r="10" spans="1:92" s="87" customFormat="1" ht="39.950000000000003" customHeight="1" x14ac:dyDescent="0.15">
      <c r="A10" s="88" t="s">
        <v>222</v>
      </c>
      <c r="B10" s="145">
        <f t="shared" si="0"/>
        <v>34</v>
      </c>
      <c r="C10" s="162">
        <f t="shared" si="10"/>
        <v>34</v>
      </c>
      <c r="D10" s="90"/>
      <c r="E10" s="91"/>
      <c r="F10" s="92"/>
      <c r="G10" s="93"/>
      <c r="H10" s="94">
        <v>1</v>
      </c>
      <c r="I10" s="95"/>
      <c r="J10" s="95"/>
      <c r="K10" s="94">
        <v>2</v>
      </c>
      <c r="L10" s="93">
        <f>0+1</f>
        <v>1</v>
      </c>
      <c r="M10" s="93"/>
      <c r="N10" s="93"/>
      <c r="O10" s="93">
        <v>1</v>
      </c>
      <c r="P10" s="95"/>
      <c r="Q10" s="90">
        <f>3-1</f>
        <v>2</v>
      </c>
      <c r="R10" s="93"/>
      <c r="S10" s="93"/>
      <c r="T10" s="93"/>
      <c r="U10" s="93"/>
      <c r="V10" s="93"/>
      <c r="W10" s="299"/>
      <c r="X10" s="299"/>
      <c r="Y10" s="299"/>
      <c r="Z10" s="299"/>
      <c r="AA10" s="301">
        <v>5</v>
      </c>
      <c r="AB10" s="299"/>
      <c r="AC10" s="299"/>
      <c r="AD10" s="299"/>
      <c r="AE10" s="299"/>
      <c r="AF10" s="299"/>
      <c r="AG10" s="299"/>
      <c r="AH10" s="299"/>
      <c r="AI10" s="299"/>
      <c r="AJ10" s="299"/>
      <c r="AK10" s="299"/>
      <c r="AL10" s="299"/>
      <c r="AM10" s="300"/>
      <c r="AN10" s="302"/>
      <c r="AO10" s="301">
        <f>3-1</f>
        <v>2</v>
      </c>
      <c r="AP10" s="299"/>
      <c r="AQ10" s="299"/>
      <c r="AR10" s="299"/>
      <c r="AS10" s="299"/>
      <c r="AT10" s="299"/>
      <c r="AU10" s="299"/>
      <c r="AV10" s="302"/>
      <c r="AW10" s="301">
        <v>3</v>
      </c>
      <c r="AX10" s="299"/>
      <c r="AY10" s="299"/>
      <c r="AZ10" s="299"/>
      <c r="BA10" s="299">
        <v>1</v>
      </c>
      <c r="BB10" s="302"/>
      <c r="BC10" s="301">
        <v>3</v>
      </c>
      <c r="BD10" s="302">
        <v>12</v>
      </c>
      <c r="BE10" s="301"/>
      <c r="BF10" s="299"/>
      <c r="BG10" s="299"/>
      <c r="BH10" s="299"/>
      <c r="BI10" s="299"/>
      <c r="BJ10" s="299">
        <v>1</v>
      </c>
      <c r="BK10" s="302"/>
      <c r="BL10" s="303"/>
      <c r="BM10" s="299"/>
      <c r="BN10" s="332"/>
      <c r="BO10" s="476"/>
      <c r="BP10" s="477"/>
      <c r="BQ10" s="477"/>
      <c r="BR10" s="477"/>
      <c r="BS10" s="477"/>
      <c r="BT10" s="477"/>
      <c r="BU10" s="477"/>
      <c r="BV10" s="477"/>
      <c r="BW10" s="477"/>
      <c r="BX10" s="477"/>
      <c r="BY10" s="477"/>
      <c r="BZ10" s="477"/>
    </row>
    <row r="11" spans="1:92" s="87" customFormat="1" ht="39.950000000000003" customHeight="1" x14ac:dyDescent="0.15">
      <c r="A11" s="102" t="s">
        <v>59</v>
      </c>
      <c r="B11" s="128">
        <f t="shared" si="0"/>
        <v>842</v>
      </c>
      <c r="C11" s="164">
        <f t="shared" si="10"/>
        <v>842</v>
      </c>
      <c r="D11" s="103">
        <f>SUM(D12:D16)</f>
        <v>3</v>
      </c>
      <c r="E11" s="104">
        <f t="shared" ref="E11" si="11">SUM(E12:E16)</f>
        <v>0</v>
      </c>
      <c r="F11" s="105">
        <f>SUM(F12:F16)</f>
        <v>6</v>
      </c>
      <c r="G11" s="106"/>
      <c r="H11" s="107"/>
      <c r="I11" s="106">
        <f>SUM(I12:I16)</f>
        <v>3</v>
      </c>
      <c r="J11" s="108"/>
      <c r="K11" s="107"/>
      <c r="L11" s="106">
        <f>SUM(L12:L16)</f>
        <v>35</v>
      </c>
      <c r="M11" s="106"/>
      <c r="N11" s="106"/>
      <c r="O11" s="106"/>
      <c r="P11" s="108"/>
      <c r="Q11" s="103">
        <f>SUM(Q12:Q16)</f>
        <v>155</v>
      </c>
      <c r="R11" s="106"/>
      <c r="S11" s="106">
        <f>SUM(S12:S16)</f>
        <v>11</v>
      </c>
      <c r="T11" s="106"/>
      <c r="U11" s="106">
        <f>SUM(U12:U16)</f>
        <v>30</v>
      </c>
      <c r="V11" s="106"/>
      <c r="W11" s="276"/>
      <c r="X11" s="276"/>
      <c r="Y11" s="276"/>
      <c r="Z11" s="276">
        <v>5</v>
      </c>
      <c r="AA11" s="280">
        <f>SUM(AA12:AA16)</f>
        <v>118</v>
      </c>
      <c r="AB11" s="276">
        <f t="shared" ref="AB11:AD11" si="12">SUM(AB12:AB16)</f>
        <v>5</v>
      </c>
      <c r="AC11" s="276">
        <f t="shared" si="12"/>
        <v>2</v>
      </c>
      <c r="AD11" s="276">
        <f t="shared" si="12"/>
        <v>5</v>
      </c>
      <c r="AE11" s="276"/>
      <c r="AF11" s="276">
        <f>SUM(AF12:AF16)</f>
        <v>5</v>
      </c>
      <c r="AG11" s="276"/>
      <c r="AH11" s="276">
        <f>SUM(AH12:AH16)</f>
        <v>10</v>
      </c>
      <c r="AI11" s="276">
        <f>SUM(AI12:AI16)</f>
        <v>1</v>
      </c>
      <c r="AJ11" s="276">
        <f>SUM(AJ12:AJ16)</f>
        <v>3</v>
      </c>
      <c r="AK11" s="276"/>
      <c r="AL11" s="276">
        <f>SUM(AL12:AL16)</f>
        <v>32</v>
      </c>
      <c r="AM11" s="277"/>
      <c r="AN11" s="278"/>
      <c r="AO11" s="276">
        <f>SUM(AO12:AO16)</f>
        <v>193</v>
      </c>
      <c r="AP11" s="279">
        <f t="shared" ref="AP11" si="13">SUM(AP12:AP16)</f>
        <v>2</v>
      </c>
      <c r="AQ11" s="279"/>
      <c r="AR11" s="109">
        <f t="shared" ref="AR11" si="14">SUM(AR12:AR16)</f>
        <v>2</v>
      </c>
      <c r="AS11" s="279">
        <f>SUM(AS12:AS16)</f>
        <v>6</v>
      </c>
      <c r="AT11" s="276">
        <f>SUM(AT12:AT16)</f>
        <v>2</v>
      </c>
      <c r="AU11" s="279">
        <f t="shared" ref="AU11" si="15">SUM(AU12:AU16)</f>
        <v>6</v>
      </c>
      <c r="AV11" s="278"/>
      <c r="AW11" s="304">
        <f>SUM(AW12:AW16)</f>
        <v>140</v>
      </c>
      <c r="AX11" s="305">
        <f>SUM(AX12:AX16)</f>
        <v>32</v>
      </c>
      <c r="AY11" s="276">
        <f>SUM(AY12:AY16)</f>
        <v>1</v>
      </c>
      <c r="AZ11" s="279">
        <f>SUM(AZ12:AZ16)</f>
        <v>5</v>
      </c>
      <c r="BA11" s="279">
        <f t="shared" ref="BA11" si="16">SUM(BA12:BA16)</f>
        <v>16</v>
      </c>
      <c r="BB11" s="278"/>
      <c r="BC11" s="280"/>
      <c r="BD11" s="278"/>
      <c r="BE11" s="281">
        <f>SUM(BE12:BE16)</f>
        <v>1</v>
      </c>
      <c r="BF11" s="276"/>
      <c r="BG11" s="276"/>
      <c r="BH11" s="279">
        <f t="shared" ref="BH11:BK11" si="17">SUM(BH12:BH16)</f>
        <v>0</v>
      </c>
      <c r="BI11" s="276">
        <f t="shared" si="17"/>
        <v>1</v>
      </c>
      <c r="BJ11" s="279">
        <f t="shared" si="17"/>
        <v>3</v>
      </c>
      <c r="BK11" s="278">
        <f t="shared" si="17"/>
        <v>3</v>
      </c>
      <c r="BL11" s="306"/>
      <c r="BM11" s="305"/>
      <c r="BN11" s="333"/>
    </row>
    <row r="12" spans="1:92" s="87" customFormat="1" ht="39.950000000000003" customHeight="1" x14ac:dyDescent="0.15">
      <c r="A12" s="110" t="s">
        <v>60</v>
      </c>
      <c r="B12" s="116">
        <f t="shared" si="0"/>
        <v>213</v>
      </c>
      <c r="C12" s="165">
        <f t="shared" si="10"/>
        <v>213</v>
      </c>
      <c r="D12" s="111">
        <v>1</v>
      </c>
      <c r="E12" s="112"/>
      <c r="F12" s="113">
        <v>2</v>
      </c>
      <c r="G12" s="109"/>
      <c r="H12" s="114"/>
      <c r="I12" s="115">
        <v>1</v>
      </c>
      <c r="J12" s="115"/>
      <c r="K12" s="114"/>
      <c r="L12" s="109">
        <v>6</v>
      </c>
      <c r="M12" s="109"/>
      <c r="N12" s="109"/>
      <c r="O12" s="109"/>
      <c r="P12" s="115"/>
      <c r="Q12" s="111">
        <v>36</v>
      </c>
      <c r="R12" s="109"/>
      <c r="S12" s="109">
        <v>3</v>
      </c>
      <c r="T12" s="109"/>
      <c r="U12" s="109">
        <f>0+7</f>
        <v>7</v>
      </c>
      <c r="V12" s="109"/>
      <c r="W12" s="279"/>
      <c r="X12" s="279"/>
      <c r="Y12" s="279"/>
      <c r="Z12" s="279">
        <v>1</v>
      </c>
      <c r="AA12" s="286">
        <v>30</v>
      </c>
      <c r="AB12" s="279">
        <v>1</v>
      </c>
      <c r="AC12" s="279"/>
      <c r="AD12" s="279">
        <v>1</v>
      </c>
      <c r="AE12" s="279"/>
      <c r="AF12" s="279">
        <v>1</v>
      </c>
      <c r="AG12" s="279"/>
      <c r="AH12" s="279">
        <v>4</v>
      </c>
      <c r="AI12" s="279">
        <v>1</v>
      </c>
      <c r="AJ12" s="279">
        <v>1</v>
      </c>
      <c r="AK12" s="279"/>
      <c r="AL12" s="279">
        <f>0+6+1</f>
        <v>7</v>
      </c>
      <c r="AM12" s="284"/>
      <c r="AN12" s="285"/>
      <c r="AO12" s="279">
        <f>49+2</f>
        <v>51</v>
      </c>
      <c r="AP12" s="279">
        <f>1+1</f>
        <v>2</v>
      </c>
      <c r="AQ12" s="279"/>
      <c r="AR12" s="279"/>
      <c r="AS12" s="279"/>
      <c r="AT12" s="279"/>
      <c r="AU12" s="279">
        <v>0</v>
      </c>
      <c r="AV12" s="285"/>
      <c r="AW12" s="276">
        <v>41</v>
      </c>
      <c r="AX12" s="279">
        <f>0+6+1</f>
        <v>7</v>
      </c>
      <c r="AY12" s="279">
        <v>1</v>
      </c>
      <c r="AZ12" s="279">
        <f>3-2</f>
        <v>1</v>
      </c>
      <c r="BA12" s="279">
        <v>5</v>
      </c>
      <c r="BB12" s="285"/>
      <c r="BC12" s="286"/>
      <c r="BD12" s="285"/>
      <c r="BE12" s="279">
        <f>1-1</f>
        <v>0</v>
      </c>
      <c r="BF12" s="279"/>
      <c r="BG12" s="279"/>
      <c r="BH12" s="279"/>
      <c r="BI12" s="279"/>
      <c r="BJ12" s="279">
        <v>1</v>
      </c>
      <c r="BK12" s="285">
        <v>1</v>
      </c>
      <c r="BL12" s="308"/>
      <c r="BM12" s="279"/>
      <c r="BN12" s="283"/>
      <c r="BO12" s="473"/>
      <c r="BP12" s="473"/>
      <c r="BQ12" s="473"/>
      <c r="BR12" s="473"/>
      <c r="BS12" s="473"/>
      <c r="BT12" s="473"/>
      <c r="BU12" s="473"/>
      <c r="BV12" s="473"/>
      <c r="BW12" s="473"/>
      <c r="BX12" s="473"/>
      <c r="BY12" s="473"/>
      <c r="BZ12" s="473"/>
      <c r="CA12" s="473"/>
      <c r="CB12" s="473"/>
      <c r="CC12" s="473"/>
      <c r="CD12" s="473"/>
      <c r="CE12" s="473"/>
      <c r="CF12" s="473"/>
      <c r="CG12" s="473"/>
      <c r="CH12" s="473"/>
      <c r="CI12" s="473"/>
      <c r="CJ12" s="473"/>
      <c r="CK12" s="473"/>
      <c r="CL12" s="473"/>
      <c r="CM12" s="473"/>
      <c r="CN12" s="473"/>
    </row>
    <row r="13" spans="1:92" s="87" customFormat="1" ht="39.950000000000003" customHeight="1" x14ac:dyDescent="0.15">
      <c r="A13" s="110" t="s">
        <v>61</v>
      </c>
      <c r="B13" s="116">
        <f t="shared" ref="B13:B15" si="18">C13</f>
        <v>203</v>
      </c>
      <c r="C13" s="165">
        <f t="shared" si="10"/>
        <v>203</v>
      </c>
      <c r="D13" s="111">
        <v>1</v>
      </c>
      <c r="E13" s="112"/>
      <c r="F13" s="113">
        <v>1</v>
      </c>
      <c r="G13" s="109"/>
      <c r="H13" s="114"/>
      <c r="I13" s="115">
        <v>1</v>
      </c>
      <c r="J13" s="115"/>
      <c r="K13" s="114"/>
      <c r="L13" s="109">
        <v>8</v>
      </c>
      <c r="M13" s="109"/>
      <c r="N13" s="109"/>
      <c r="O13" s="109"/>
      <c r="P13" s="115"/>
      <c r="Q13" s="111">
        <v>36</v>
      </c>
      <c r="R13" s="109"/>
      <c r="S13" s="109">
        <v>2</v>
      </c>
      <c r="T13" s="109"/>
      <c r="U13" s="109">
        <f>0+8</f>
        <v>8</v>
      </c>
      <c r="V13" s="109"/>
      <c r="W13" s="279"/>
      <c r="X13" s="279"/>
      <c r="Y13" s="279"/>
      <c r="Z13" s="279">
        <v>1</v>
      </c>
      <c r="AA13" s="286">
        <v>26</v>
      </c>
      <c r="AB13" s="279">
        <v>1</v>
      </c>
      <c r="AC13" s="279"/>
      <c r="AD13" s="279">
        <v>1</v>
      </c>
      <c r="AE13" s="279"/>
      <c r="AF13" s="279">
        <v>1</v>
      </c>
      <c r="AG13" s="279"/>
      <c r="AH13" s="279">
        <v>4</v>
      </c>
      <c r="AI13" s="279"/>
      <c r="AJ13" s="279">
        <v>1</v>
      </c>
      <c r="AK13" s="279"/>
      <c r="AL13" s="279">
        <f>0+7+1</f>
        <v>8</v>
      </c>
      <c r="AM13" s="284"/>
      <c r="AN13" s="285"/>
      <c r="AO13" s="279">
        <f>46+1</f>
        <v>47</v>
      </c>
      <c r="AP13" s="279"/>
      <c r="AQ13" s="279"/>
      <c r="AR13" s="279"/>
      <c r="AS13" s="279">
        <v>4</v>
      </c>
      <c r="AT13" s="279"/>
      <c r="AU13" s="279">
        <v>2</v>
      </c>
      <c r="AV13" s="285"/>
      <c r="AW13" s="276">
        <f>32+1</f>
        <v>33</v>
      </c>
      <c r="AX13" s="279">
        <f>0+7+1</f>
        <v>8</v>
      </c>
      <c r="AY13" s="279"/>
      <c r="AZ13" s="279">
        <v>1</v>
      </c>
      <c r="BA13" s="279">
        <v>4</v>
      </c>
      <c r="BB13" s="285"/>
      <c r="BC13" s="286"/>
      <c r="BD13" s="285"/>
      <c r="BE13" s="286"/>
      <c r="BF13" s="279"/>
      <c r="BG13" s="279"/>
      <c r="BH13" s="279"/>
      <c r="BI13" s="279"/>
      <c r="BJ13" s="279">
        <v>2</v>
      </c>
      <c r="BK13" s="285">
        <f>3-1</f>
        <v>2</v>
      </c>
      <c r="BL13" s="308"/>
      <c r="BM13" s="279"/>
      <c r="BN13" s="283"/>
      <c r="BO13" s="468"/>
      <c r="BP13" s="470"/>
      <c r="BQ13" s="470"/>
      <c r="BR13" s="470"/>
      <c r="BS13" s="470"/>
      <c r="BT13" s="470"/>
      <c r="BU13" s="470"/>
      <c r="BV13" s="470"/>
      <c r="BW13" s="470"/>
      <c r="BX13" s="470"/>
      <c r="BY13" s="470"/>
      <c r="BZ13" s="470"/>
      <c r="CA13" s="470"/>
      <c r="CB13" s="470"/>
      <c r="CC13" s="470"/>
      <c r="CD13" s="470"/>
      <c r="CE13" s="470"/>
      <c r="CF13" s="470"/>
      <c r="CG13" s="470"/>
      <c r="CH13" s="470"/>
      <c r="CI13" s="470"/>
      <c r="CJ13" s="470"/>
      <c r="CK13" s="470"/>
    </row>
    <row r="14" spans="1:92" s="87" customFormat="1" ht="39.950000000000003" customHeight="1" x14ac:dyDescent="0.15">
      <c r="A14" s="110" t="s">
        <v>62</v>
      </c>
      <c r="B14" s="116">
        <f t="shared" si="18"/>
        <v>166</v>
      </c>
      <c r="C14" s="165">
        <f t="shared" si="10"/>
        <v>166</v>
      </c>
      <c r="D14" s="111">
        <v>1</v>
      </c>
      <c r="E14" s="112"/>
      <c r="F14" s="113">
        <v>1</v>
      </c>
      <c r="G14" s="109"/>
      <c r="H14" s="114"/>
      <c r="I14" s="115">
        <v>1</v>
      </c>
      <c r="J14" s="115"/>
      <c r="K14" s="114"/>
      <c r="L14" s="109">
        <v>6</v>
      </c>
      <c r="M14" s="109"/>
      <c r="N14" s="109"/>
      <c r="O14" s="109"/>
      <c r="P14" s="115"/>
      <c r="Q14" s="111">
        <v>33</v>
      </c>
      <c r="R14" s="109"/>
      <c r="S14" s="109">
        <v>2</v>
      </c>
      <c r="T14" s="109"/>
      <c r="U14" s="109">
        <f>0+6</f>
        <v>6</v>
      </c>
      <c r="V14" s="109"/>
      <c r="W14" s="279"/>
      <c r="X14" s="279"/>
      <c r="Y14" s="279"/>
      <c r="Z14" s="279">
        <v>1</v>
      </c>
      <c r="AA14" s="286">
        <v>25</v>
      </c>
      <c r="AB14" s="279">
        <v>1</v>
      </c>
      <c r="AC14" s="279"/>
      <c r="AD14" s="279">
        <v>1</v>
      </c>
      <c r="AE14" s="279"/>
      <c r="AF14" s="279">
        <v>1</v>
      </c>
      <c r="AG14" s="279"/>
      <c r="AH14" s="279">
        <v>2</v>
      </c>
      <c r="AI14" s="279"/>
      <c r="AJ14" s="279">
        <v>1</v>
      </c>
      <c r="AK14" s="279"/>
      <c r="AL14" s="279">
        <f>0+5+1</f>
        <v>6</v>
      </c>
      <c r="AM14" s="284"/>
      <c r="AN14" s="285"/>
      <c r="AO14" s="279">
        <f>37+2</f>
        <v>39</v>
      </c>
      <c r="AP14" s="279"/>
      <c r="AQ14" s="279"/>
      <c r="AR14" s="279"/>
      <c r="AS14" s="279"/>
      <c r="AT14" s="279"/>
      <c r="AU14" s="279">
        <v>2</v>
      </c>
      <c r="AV14" s="285"/>
      <c r="AW14" s="286">
        <v>27</v>
      </c>
      <c r="AX14" s="279">
        <f>0+5+1</f>
        <v>6</v>
      </c>
      <c r="AY14" s="279"/>
      <c r="AZ14" s="279">
        <v>0</v>
      </c>
      <c r="BA14" s="279">
        <v>2</v>
      </c>
      <c r="BB14" s="285"/>
      <c r="BC14" s="286"/>
      <c r="BD14" s="285"/>
      <c r="BE14" s="286">
        <v>1</v>
      </c>
      <c r="BF14" s="279"/>
      <c r="BG14" s="279"/>
      <c r="BH14" s="279">
        <f>1-1</f>
        <v>0</v>
      </c>
      <c r="BI14" s="279">
        <v>1</v>
      </c>
      <c r="BJ14" s="279"/>
      <c r="BK14" s="285"/>
      <c r="BL14" s="308"/>
      <c r="BM14" s="279"/>
      <c r="BN14" s="283"/>
      <c r="BO14" s="468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</row>
    <row r="15" spans="1:92" s="87" customFormat="1" ht="39.950000000000003" customHeight="1" x14ac:dyDescent="0.15">
      <c r="A15" s="110" t="s">
        <v>223</v>
      </c>
      <c r="B15" s="116">
        <f t="shared" si="18"/>
        <v>116</v>
      </c>
      <c r="C15" s="165">
        <f t="shared" si="10"/>
        <v>116</v>
      </c>
      <c r="D15" s="111"/>
      <c r="E15" s="112"/>
      <c r="F15" s="113">
        <v>1</v>
      </c>
      <c r="G15" s="109"/>
      <c r="H15" s="114"/>
      <c r="I15" s="115"/>
      <c r="J15" s="115"/>
      <c r="K15" s="114"/>
      <c r="L15" s="109">
        <v>7</v>
      </c>
      <c r="M15" s="109"/>
      <c r="N15" s="109"/>
      <c r="O15" s="109"/>
      <c r="P15" s="115"/>
      <c r="Q15" s="111">
        <v>22</v>
      </c>
      <c r="R15" s="109"/>
      <c r="S15" s="109">
        <v>2</v>
      </c>
      <c r="T15" s="109"/>
      <c r="U15" s="109">
        <v>4</v>
      </c>
      <c r="V15" s="109"/>
      <c r="W15" s="279"/>
      <c r="X15" s="279"/>
      <c r="Y15" s="279"/>
      <c r="Z15" s="279">
        <v>1</v>
      </c>
      <c r="AA15" s="286">
        <f>14+1</f>
        <v>15</v>
      </c>
      <c r="AB15" s="279">
        <v>1</v>
      </c>
      <c r="AC15" s="279"/>
      <c r="AD15" s="279">
        <v>1</v>
      </c>
      <c r="AE15" s="279"/>
      <c r="AF15" s="279">
        <v>1</v>
      </c>
      <c r="AG15" s="279"/>
      <c r="AH15" s="279"/>
      <c r="AI15" s="279"/>
      <c r="AJ15" s="279"/>
      <c r="AK15" s="279"/>
      <c r="AL15" s="279">
        <f>0+4+1</f>
        <v>5</v>
      </c>
      <c r="AM15" s="284"/>
      <c r="AN15" s="285"/>
      <c r="AO15" s="279">
        <f>24+2</f>
        <v>26</v>
      </c>
      <c r="AP15" s="279"/>
      <c r="AQ15" s="279"/>
      <c r="AR15" s="109">
        <v>1</v>
      </c>
      <c r="AS15" s="279">
        <v>1</v>
      </c>
      <c r="AT15" s="279"/>
      <c r="AU15" s="279">
        <v>1</v>
      </c>
      <c r="AV15" s="285"/>
      <c r="AW15" s="279">
        <v>18</v>
      </c>
      <c r="AX15" s="279">
        <f>0+4+1</f>
        <v>5</v>
      </c>
      <c r="AY15" s="279"/>
      <c r="AZ15" s="279">
        <v>2</v>
      </c>
      <c r="BA15" s="279">
        <v>2</v>
      </c>
      <c r="BB15" s="285"/>
      <c r="BC15" s="286"/>
      <c r="BD15" s="285"/>
      <c r="BE15" s="286"/>
      <c r="BF15" s="279"/>
      <c r="BG15" s="279"/>
      <c r="BH15" s="279"/>
      <c r="BI15" s="279"/>
      <c r="BJ15" s="279"/>
      <c r="BK15" s="285"/>
      <c r="BL15" s="308"/>
      <c r="BM15" s="279"/>
      <c r="BN15" s="283"/>
      <c r="BO15" s="377"/>
      <c r="BP15" s="469"/>
      <c r="BQ15" s="469"/>
      <c r="BR15" s="469"/>
      <c r="BS15" s="469"/>
      <c r="BT15" s="469"/>
      <c r="BU15" s="469"/>
      <c r="BV15" s="469"/>
      <c r="BW15" s="469"/>
      <c r="BX15" s="469"/>
      <c r="BY15" s="469"/>
      <c r="BZ15" s="469"/>
      <c r="CA15" s="469"/>
    </row>
    <row r="16" spans="1:92" s="87" customFormat="1" ht="39.950000000000003" customHeight="1" x14ac:dyDescent="0.15">
      <c r="A16" s="172" t="s">
        <v>64</v>
      </c>
      <c r="B16" s="173">
        <f>C16</f>
        <v>144</v>
      </c>
      <c r="C16" s="174">
        <f t="shared" si="10"/>
        <v>144</v>
      </c>
      <c r="D16" s="175"/>
      <c r="E16" s="112">
        <f>1-1</f>
        <v>0</v>
      </c>
      <c r="F16" s="113">
        <f>0+1</f>
        <v>1</v>
      </c>
      <c r="G16" s="176"/>
      <c r="H16" s="177"/>
      <c r="I16" s="178"/>
      <c r="J16" s="178"/>
      <c r="K16" s="177"/>
      <c r="L16" s="176">
        <v>8</v>
      </c>
      <c r="M16" s="176"/>
      <c r="N16" s="176"/>
      <c r="O16" s="176"/>
      <c r="P16" s="178"/>
      <c r="Q16" s="175">
        <v>28</v>
      </c>
      <c r="R16" s="176"/>
      <c r="S16" s="176">
        <v>2</v>
      </c>
      <c r="T16" s="176"/>
      <c r="U16" s="109">
        <v>5</v>
      </c>
      <c r="V16" s="176"/>
      <c r="W16" s="309"/>
      <c r="X16" s="309"/>
      <c r="Y16" s="309"/>
      <c r="Z16" s="309">
        <v>1</v>
      </c>
      <c r="AA16" s="310">
        <v>22</v>
      </c>
      <c r="AB16" s="309">
        <v>1</v>
      </c>
      <c r="AC16" s="309">
        <v>2</v>
      </c>
      <c r="AD16" s="309">
        <v>1</v>
      </c>
      <c r="AE16" s="309"/>
      <c r="AF16" s="309">
        <v>1</v>
      </c>
      <c r="AG16" s="309"/>
      <c r="AH16" s="309"/>
      <c r="AI16" s="309"/>
      <c r="AJ16" s="309"/>
      <c r="AK16" s="309"/>
      <c r="AL16" s="279">
        <f>0+5+1</f>
        <v>6</v>
      </c>
      <c r="AM16" s="311"/>
      <c r="AN16" s="312"/>
      <c r="AO16" s="279">
        <f>28+2</f>
        <v>30</v>
      </c>
      <c r="AP16" s="309"/>
      <c r="AQ16" s="309"/>
      <c r="AR16" s="176">
        <v>1</v>
      </c>
      <c r="AS16" s="309">
        <v>1</v>
      </c>
      <c r="AT16" s="309">
        <v>2</v>
      </c>
      <c r="AU16" s="309">
        <v>1</v>
      </c>
      <c r="AV16" s="312"/>
      <c r="AW16" s="310">
        <v>21</v>
      </c>
      <c r="AX16" s="279">
        <f>0+5+1</f>
        <v>6</v>
      </c>
      <c r="AY16" s="309"/>
      <c r="AZ16" s="309">
        <v>1</v>
      </c>
      <c r="BA16" s="309">
        <v>3</v>
      </c>
      <c r="BB16" s="312"/>
      <c r="BC16" s="310"/>
      <c r="BD16" s="312"/>
      <c r="BE16" s="310">
        <v>0</v>
      </c>
      <c r="BF16" s="309"/>
      <c r="BG16" s="309"/>
      <c r="BH16" s="309"/>
      <c r="BI16" s="309"/>
      <c r="BJ16" s="309">
        <v>0</v>
      </c>
      <c r="BK16" s="312"/>
      <c r="BL16" s="313"/>
      <c r="BM16" s="288"/>
      <c r="BN16" s="293"/>
      <c r="BO16" s="468"/>
      <c r="BP16" s="470"/>
      <c r="BQ16" s="470"/>
      <c r="BR16" s="470"/>
      <c r="BS16" s="470"/>
      <c r="BT16" s="470"/>
      <c r="BU16" s="470"/>
      <c r="BV16" s="470"/>
      <c r="BW16" s="470"/>
      <c r="BX16" s="470"/>
      <c r="BY16" s="470"/>
      <c r="BZ16" s="470"/>
    </row>
    <row r="17" spans="1:66" ht="39.950000000000003" customHeight="1" x14ac:dyDescent="0.15">
      <c r="A17" s="218" t="s">
        <v>256</v>
      </c>
      <c r="B17" s="208">
        <f>C17</f>
        <v>24</v>
      </c>
      <c r="C17" s="192">
        <f>SUM(D17:BN17)</f>
        <v>24</v>
      </c>
      <c r="D17" s="187"/>
      <c r="E17" s="187"/>
      <c r="F17" s="191">
        <f>SUM(F18:F19)</f>
        <v>2</v>
      </c>
      <c r="G17" s="189"/>
      <c r="H17" s="190"/>
      <c r="I17" s="188"/>
      <c r="J17" s="189"/>
      <c r="K17" s="190"/>
      <c r="L17" s="191">
        <f>SUM(L18:L19)</f>
        <v>4</v>
      </c>
      <c r="M17" s="189"/>
      <c r="N17" s="189"/>
      <c r="O17" s="189"/>
      <c r="P17" s="190"/>
      <c r="Q17" s="191"/>
      <c r="R17" s="189"/>
      <c r="S17" s="189"/>
      <c r="T17" s="194">
        <f>SUM(T18:T19)</f>
        <v>6</v>
      </c>
      <c r="U17" s="189"/>
      <c r="V17" s="189"/>
      <c r="W17" s="314"/>
      <c r="X17" s="314"/>
      <c r="Y17" s="314"/>
      <c r="Z17" s="315"/>
      <c r="AA17" s="304">
        <f>SUM(AA18:AA19)</f>
        <v>4</v>
      </c>
      <c r="AB17" s="314"/>
      <c r="AC17" s="314"/>
      <c r="AD17" s="314"/>
      <c r="AE17" s="314"/>
      <c r="AF17" s="314"/>
      <c r="AG17" s="314"/>
      <c r="AH17" s="314"/>
      <c r="AI17" s="314"/>
      <c r="AJ17" s="314"/>
      <c r="AK17" s="314"/>
      <c r="AL17" s="314"/>
      <c r="AM17" s="314"/>
      <c r="AN17" s="316"/>
      <c r="AO17" s="304">
        <f>SUM(AO18:AO19)</f>
        <v>2</v>
      </c>
      <c r="AP17" s="314"/>
      <c r="AQ17" s="314"/>
      <c r="AR17" s="314"/>
      <c r="AS17" s="314"/>
      <c r="AT17" s="314"/>
      <c r="AU17" s="314"/>
      <c r="AV17" s="316"/>
      <c r="AW17" s="317"/>
      <c r="AX17" s="314"/>
      <c r="AY17" s="314"/>
      <c r="AZ17" s="314"/>
      <c r="BA17" s="314"/>
      <c r="BB17" s="316"/>
      <c r="BC17" s="318"/>
      <c r="BD17" s="319">
        <f>SUM(BD18:BD19)</f>
        <v>2</v>
      </c>
      <c r="BE17" s="317"/>
      <c r="BF17" s="314"/>
      <c r="BG17" s="314"/>
      <c r="BH17" s="314"/>
      <c r="BI17" s="314"/>
      <c r="BJ17" s="314"/>
      <c r="BK17" s="316"/>
      <c r="BL17" s="320"/>
      <c r="BM17" s="305">
        <f t="shared" ref="BM17:BN17" si="19">SUM(BM18:BM19)</f>
        <v>2</v>
      </c>
      <c r="BN17" s="333">
        <f t="shared" si="19"/>
        <v>2</v>
      </c>
    </row>
    <row r="18" spans="1:66" ht="39.950000000000003" customHeight="1" x14ac:dyDescent="0.15">
      <c r="A18" s="110" t="s">
        <v>253</v>
      </c>
      <c r="B18" s="116">
        <f t="shared" ref="B18:B19" si="20">C18</f>
        <v>12</v>
      </c>
      <c r="C18" s="174">
        <f>SUM(D18:BN18)</f>
        <v>12</v>
      </c>
      <c r="D18" s="183"/>
      <c r="E18" s="183"/>
      <c r="F18" s="109">
        <f>0+1</f>
        <v>1</v>
      </c>
      <c r="G18" s="109"/>
      <c r="H18" s="114"/>
      <c r="I18" s="181"/>
      <c r="J18" s="179"/>
      <c r="K18" s="185"/>
      <c r="L18" s="109">
        <f>0+2</f>
        <v>2</v>
      </c>
      <c r="M18" s="109"/>
      <c r="N18" s="109"/>
      <c r="O18" s="179"/>
      <c r="P18" s="185"/>
      <c r="Q18" s="109"/>
      <c r="R18" s="109"/>
      <c r="S18" s="109"/>
      <c r="T18" s="109">
        <f>0+3</f>
        <v>3</v>
      </c>
      <c r="U18" s="179"/>
      <c r="V18" s="179"/>
      <c r="W18" s="321"/>
      <c r="X18" s="279"/>
      <c r="Y18" s="279"/>
      <c r="Z18" s="284"/>
      <c r="AA18" s="286">
        <f>0+2</f>
        <v>2</v>
      </c>
      <c r="AB18" s="279"/>
      <c r="AC18" s="279"/>
      <c r="AD18" s="321"/>
      <c r="AE18" s="321"/>
      <c r="AF18" s="321"/>
      <c r="AG18" s="321"/>
      <c r="AH18" s="321"/>
      <c r="AI18" s="321"/>
      <c r="AJ18" s="321"/>
      <c r="AK18" s="321"/>
      <c r="AL18" s="321"/>
      <c r="AM18" s="321"/>
      <c r="AN18" s="322"/>
      <c r="AO18" s="279">
        <f>0+1</f>
        <v>1</v>
      </c>
      <c r="AP18" s="279"/>
      <c r="AQ18" s="279"/>
      <c r="AR18" s="321"/>
      <c r="AS18" s="321"/>
      <c r="AT18" s="321"/>
      <c r="AU18" s="321"/>
      <c r="AV18" s="322"/>
      <c r="AW18" s="323"/>
      <c r="AX18" s="321"/>
      <c r="AY18" s="321"/>
      <c r="AZ18" s="321"/>
      <c r="BA18" s="321"/>
      <c r="BB18" s="322"/>
      <c r="BC18" s="323"/>
      <c r="BD18" s="285">
        <f>0+1</f>
        <v>1</v>
      </c>
      <c r="BE18" s="323"/>
      <c r="BF18" s="321"/>
      <c r="BG18" s="321"/>
      <c r="BH18" s="321"/>
      <c r="BI18" s="321"/>
      <c r="BJ18" s="321"/>
      <c r="BK18" s="322"/>
      <c r="BL18" s="324"/>
      <c r="BM18" s="279">
        <f t="shared" ref="BM18:BN19" si="21">0+1</f>
        <v>1</v>
      </c>
      <c r="BN18" s="283">
        <f t="shared" si="21"/>
        <v>1</v>
      </c>
    </row>
    <row r="19" spans="1:66" ht="39.950000000000003" customHeight="1" thickBot="1" x14ac:dyDescent="0.2">
      <c r="A19" s="117" t="s">
        <v>254</v>
      </c>
      <c r="B19" s="334">
        <f t="shared" si="20"/>
        <v>12</v>
      </c>
      <c r="C19" s="335">
        <f>SUM(D19:BN19)</f>
        <v>12</v>
      </c>
      <c r="D19" s="184"/>
      <c r="E19" s="184"/>
      <c r="F19" s="336">
        <f>0+1</f>
        <v>1</v>
      </c>
      <c r="G19" s="336"/>
      <c r="H19" s="337"/>
      <c r="I19" s="182"/>
      <c r="J19" s="180"/>
      <c r="K19" s="186"/>
      <c r="L19" s="336">
        <f>0+2</f>
        <v>2</v>
      </c>
      <c r="M19" s="336"/>
      <c r="N19" s="336"/>
      <c r="O19" s="180"/>
      <c r="P19" s="186"/>
      <c r="Q19" s="336"/>
      <c r="R19" s="336"/>
      <c r="S19" s="336"/>
      <c r="T19" s="336">
        <f>0+3</f>
        <v>3</v>
      </c>
      <c r="U19" s="180"/>
      <c r="V19" s="180"/>
      <c r="W19" s="180"/>
      <c r="X19" s="336"/>
      <c r="Y19" s="336"/>
      <c r="Z19" s="338"/>
      <c r="AA19" s="118">
        <f>0+2</f>
        <v>2</v>
      </c>
      <c r="AB19" s="336"/>
      <c r="AC19" s="336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6"/>
      <c r="AO19" s="336">
        <f>0+1</f>
        <v>1</v>
      </c>
      <c r="AP19" s="336"/>
      <c r="AQ19" s="336"/>
      <c r="AR19" s="180"/>
      <c r="AS19" s="180"/>
      <c r="AT19" s="180"/>
      <c r="AU19" s="180"/>
      <c r="AV19" s="186"/>
      <c r="AW19" s="182"/>
      <c r="AX19" s="180"/>
      <c r="AY19" s="180"/>
      <c r="AZ19" s="180"/>
      <c r="BA19" s="180"/>
      <c r="BB19" s="186"/>
      <c r="BC19" s="182"/>
      <c r="BD19" s="337">
        <f>0+1</f>
        <v>1</v>
      </c>
      <c r="BE19" s="182"/>
      <c r="BF19" s="180"/>
      <c r="BG19" s="180"/>
      <c r="BH19" s="180"/>
      <c r="BI19" s="180"/>
      <c r="BJ19" s="180"/>
      <c r="BK19" s="186"/>
      <c r="BL19" s="184"/>
      <c r="BM19" s="336">
        <f t="shared" si="21"/>
        <v>1</v>
      </c>
      <c r="BN19" s="339">
        <f t="shared" si="21"/>
        <v>1</v>
      </c>
    </row>
    <row r="20" spans="1:66" ht="30" customHeight="1" x14ac:dyDescent="0.15"/>
    <row r="21" spans="1:66" ht="30" customHeight="1" x14ac:dyDescent="0.15"/>
    <row r="22" spans="1:66" ht="30" customHeight="1" x14ac:dyDescent="0.15"/>
    <row r="23" spans="1:66" ht="30" customHeight="1" x14ac:dyDescent="0.15"/>
    <row r="24" spans="1:66" ht="30" customHeight="1" x14ac:dyDescent="0.15"/>
    <row r="25" spans="1:66" ht="30" customHeight="1" x14ac:dyDescent="0.15"/>
    <row r="26" spans="1:66" ht="30" customHeight="1" x14ac:dyDescent="0.15"/>
    <row r="27" spans="1:66" ht="30" customHeight="1" x14ac:dyDescent="0.15"/>
  </sheetData>
  <mergeCells count="22">
    <mergeCell ref="AW5:BB5"/>
    <mergeCell ref="BC5:BD5"/>
    <mergeCell ref="BE5:BK5"/>
    <mergeCell ref="A2:BL2"/>
    <mergeCell ref="A4:A6"/>
    <mergeCell ref="B4:B6"/>
    <mergeCell ref="C4:BL4"/>
    <mergeCell ref="C5:C6"/>
    <mergeCell ref="F5:H5"/>
    <mergeCell ref="I5:K5"/>
    <mergeCell ref="L5:P5"/>
    <mergeCell ref="AA5:AN5"/>
    <mergeCell ref="AO5:AV5"/>
    <mergeCell ref="Q5:Z5"/>
    <mergeCell ref="BO14:CC14"/>
    <mergeCell ref="BO15:CA15"/>
    <mergeCell ref="BO16:BZ16"/>
    <mergeCell ref="BM4:BN4"/>
    <mergeCell ref="BM5:BN5"/>
    <mergeCell ref="BO10:BZ10"/>
    <mergeCell ref="BO12:CN12"/>
    <mergeCell ref="BO13:CK13"/>
  </mergeCells>
  <phoneticPr fontId="2" type="noConversion"/>
  <pageMargins left="0.15748031496062992" right="0.15748031496062992" top="0.5" bottom="0.19685039370078741" header="0.97" footer="0.51181102362204722"/>
  <pageSetup paperSize="9" scale="40" orientation="landscape" r:id="rId1"/>
  <headerFooter scaleWithDoc="0" alignWithMargins="0"/>
  <ignoredErrors>
    <ignoredError sqref="F17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27"/>
  <sheetViews>
    <sheetView view="pageBreakPreview" zoomScale="55" zoomScaleNormal="70" zoomScaleSheetLayoutView="55" workbookViewId="0">
      <selection activeCell="BF9" sqref="BF9"/>
    </sheetView>
  </sheetViews>
  <sheetFormatPr defaultColWidth="4.77734375" defaultRowHeight="12" x14ac:dyDescent="0.15"/>
  <cols>
    <col min="1" max="1" width="26.21875" style="14" bestFit="1" customWidth="1"/>
    <col min="2" max="3" width="8.77734375" style="14" bestFit="1" customWidth="1"/>
    <col min="4" max="4" width="5.5546875" style="14" bestFit="1" customWidth="1"/>
    <col min="5" max="5" width="6.5546875" style="14" bestFit="1" customWidth="1"/>
    <col min="6" max="7" width="4.33203125" style="14" bestFit="1" customWidth="1"/>
    <col min="8" max="8" width="5.33203125" style="14" bestFit="1" customWidth="1"/>
    <col min="9" max="11" width="7.33203125" style="14" bestFit="1" customWidth="1"/>
    <col min="12" max="13" width="5.5546875" style="14" bestFit="1" customWidth="1"/>
    <col min="14" max="14" width="4.33203125" style="14" bestFit="1" customWidth="1"/>
    <col min="15" max="15" width="5.33203125" style="14" bestFit="1" customWidth="1"/>
    <col min="16" max="16" width="7.33203125" style="14" bestFit="1" customWidth="1"/>
    <col min="17" max="17" width="6.77734375" style="14" bestFit="1" customWidth="1"/>
    <col min="18" max="18" width="5.33203125" style="14" bestFit="1" customWidth="1"/>
    <col min="19" max="19" width="5.5546875" style="14" bestFit="1" customWidth="1"/>
    <col min="20" max="20" width="5.33203125" style="14" bestFit="1" customWidth="1"/>
    <col min="21" max="21" width="5.5546875" style="14" bestFit="1" customWidth="1"/>
    <col min="22" max="22" width="4.33203125" style="14" bestFit="1" customWidth="1"/>
    <col min="23" max="23" width="5.5546875" style="14" bestFit="1" customWidth="1"/>
    <col min="24" max="26" width="4.33203125" style="14" bestFit="1" customWidth="1"/>
    <col min="27" max="27" width="6.77734375" style="14" bestFit="1" customWidth="1"/>
    <col min="28" max="30" width="4.33203125" style="20" bestFit="1" customWidth="1"/>
    <col min="31" max="33" width="4.33203125" style="14" bestFit="1" customWidth="1"/>
    <col min="34" max="34" width="5.5546875" style="14" bestFit="1" customWidth="1"/>
    <col min="35" max="37" width="5.33203125" style="14" bestFit="1" customWidth="1"/>
    <col min="38" max="38" width="5.5546875" style="14" bestFit="1" customWidth="1"/>
    <col min="39" max="39" width="4.33203125" style="14" bestFit="1" customWidth="1"/>
    <col min="40" max="40" width="5.5546875" style="14" bestFit="1" customWidth="1"/>
    <col min="41" max="41" width="6.77734375" style="14" bestFit="1" customWidth="1"/>
    <col min="42" max="43" width="5.33203125" style="14" bestFit="1" customWidth="1"/>
    <col min="44" max="44" width="5.5546875" style="14" bestFit="1" customWidth="1"/>
    <col min="45" max="46" width="4.33203125" style="14" bestFit="1" customWidth="1"/>
    <col min="47" max="47" width="5.5546875" style="14" bestFit="1" customWidth="1"/>
    <col min="48" max="48" width="4.33203125" style="14" bestFit="1" customWidth="1"/>
    <col min="49" max="49" width="6.77734375" style="14" bestFit="1" customWidth="1"/>
    <col min="50" max="50" width="5.5546875" style="14" bestFit="1" customWidth="1"/>
    <col min="51" max="51" width="4.33203125" style="14" bestFit="1" customWidth="1"/>
    <col min="52" max="53" width="5.5546875" style="14" bestFit="1" customWidth="1"/>
    <col min="54" max="55" width="4.33203125" style="14" bestFit="1" customWidth="1"/>
    <col min="56" max="56" width="5.5546875" style="14" bestFit="1" customWidth="1"/>
    <col min="57" max="57" width="4.33203125" style="14" bestFit="1" customWidth="1"/>
    <col min="58" max="58" width="4.5546875" style="14" bestFit="1" customWidth="1"/>
    <col min="59" max="59" width="5.5546875" style="14" bestFit="1" customWidth="1"/>
    <col min="60" max="61" width="4.5546875" style="14" bestFit="1" customWidth="1"/>
    <col min="62" max="63" width="4.33203125" style="14" bestFit="1" customWidth="1"/>
    <col min="64" max="64" width="7.21875" style="14" bestFit="1" customWidth="1"/>
    <col min="65" max="66" width="4.33203125" style="14" bestFit="1" customWidth="1"/>
    <col min="67" max="16384" width="4.77734375" style="14"/>
  </cols>
  <sheetData>
    <row r="1" spans="1:92" ht="16.5" customHeight="1" x14ac:dyDescent="0.2">
      <c r="A1" s="13" t="s">
        <v>30</v>
      </c>
    </row>
    <row r="2" spans="1:92" s="15" customFormat="1" ht="30" customHeight="1" x14ac:dyDescent="0.3">
      <c r="A2" s="480" t="s">
        <v>31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480"/>
      <c r="V2" s="480"/>
      <c r="W2" s="480"/>
      <c r="X2" s="480"/>
      <c r="Y2" s="480"/>
      <c r="Z2" s="480"/>
      <c r="AA2" s="480"/>
      <c r="AB2" s="480"/>
      <c r="AC2" s="480"/>
      <c r="AD2" s="480"/>
      <c r="AE2" s="480"/>
      <c r="AF2" s="480"/>
      <c r="AG2" s="480"/>
      <c r="AH2" s="480"/>
      <c r="AI2" s="480"/>
      <c r="AJ2" s="480"/>
      <c r="AK2" s="480"/>
      <c r="AL2" s="480"/>
      <c r="AM2" s="480"/>
      <c r="AN2" s="480"/>
      <c r="AO2" s="480"/>
      <c r="AP2" s="480"/>
      <c r="AQ2" s="480"/>
      <c r="AR2" s="480"/>
      <c r="AS2" s="480"/>
      <c r="AT2" s="480"/>
      <c r="AU2" s="480"/>
      <c r="AV2" s="480"/>
      <c r="AW2" s="480"/>
      <c r="AX2" s="480"/>
      <c r="AY2" s="480"/>
      <c r="AZ2" s="480"/>
      <c r="BA2" s="480"/>
      <c r="BB2" s="480"/>
      <c r="BC2" s="480"/>
      <c r="BD2" s="480"/>
      <c r="BE2" s="480"/>
      <c r="BF2" s="480"/>
      <c r="BG2" s="480"/>
      <c r="BH2" s="480"/>
      <c r="BI2" s="480"/>
      <c r="BJ2" s="480"/>
      <c r="BK2" s="480"/>
      <c r="BL2" s="480"/>
      <c r="BM2" s="275"/>
      <c r="BN2" s="275"/>
    </row>
    <row r="3" spans="1:92" ht="30" customHeight="1" thickBot="1" x14ac:dyDescent="0.2">
      <c r="A3" s="166" t="s">
        <v>262</v>
      </c>
    </row>
    <row r="4" spans="1:92" s="78" customFormat="1" ht="13.5" x14ac:dyDescent="0.15">
      <c r="A4" s="481" t="s">
        <v>98</v>
      </c>
      <c r="B4" s="484" t="s">
        <v>99</v>
      </c>
      <c r="C4" s="487" t="s">
        <v>100</v>
      </c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  <c r="R4" s="488"/>
      <c r="S4" s="488"/>
      <c r="T4" s="488"/>
      <c r="U4" s="488"/>
      <c r="V4" s="488"/>
      <c r="W4" s="488"/>
      <c r="X4" s="488"/>
      <c r="Y4" s="488"/>
      <c r="Z4" s="488"/>
      <c r="AA4" s="488"/>
      <c r="AB4" s="488"/>
      <c r="AC4" s="488"/>
      <c r="AD4" s="488"/>
      <c r="AE4" s="488"/>
      <c r="AF4" s="488"/>
      <c r="AG4" s="488"/>
      <c r="AH4" s="488"/>
      <c r="AI4" s="488"/>
      <c r="AJ4" s="488"/>
      <c r="AK4" s="488"/>
      <c r="AL4" s="488"/>
      <c r="AM4" s="488"/>
      <c r="AN4" s="488"/>
      <c r="AO4" s="488"/>
      <c r="AP4" s="488"/>
      <c r="AQ4" s="488"/>
      <c r="AR4" s="488"/>
      <c r="AS4" s="488"/>
      <c r="AT4" s="488"/>
      <c r="AU4" s="488"/>
      <c r="AV4" s="488"/>
      <c r="AW4" s="488"/>
      <c r="AX4" s="488"/>
      <c r="AY4" s="488"/>
      <c r="AZ4" s="488"/>
      <c r="BA4" s="488"/>
      <c r="BB4" s="488"/>
      <c r="BC4" s="488"/>
      <c r="BD4" s="488"/>
      <c r="BE4" s="488"/>
      <c r="BF4" s="488"/>
      <c r="BG4" s="488"/>
      <c r="BH4" s="488"/>
      <c r="BI4" s="488"/>
      <c r="BJ4" s="488"/>
      <c r="BK4" s="488"/>
      <c r="BL4" s="489"/>
      <c r="BM4" s="474"/>
      <c r="BN4" s="475"/>
    </row>
    <row r="5" spans="1:92" s="78" customFormat="1" ht="27" x14ac:dyDescent="0.15">
      <c r="A5" s="482"/>
      <c r="B5" s="485"/>
      <c r="C5" s="454" t="s">
        <v>101</v>
      </c>
      <c r="D5" s="327" t="s">
        <v>102</v>
      </c>
      <c r="E5" s="142" t="s">
        <v>103</v>
      </c>
      <c r="F5" s="456" t="s">
        <v>104</v>
      </c>
      <c r="G5" s="457"/>
      <c r="H5" s="458"/>
      <c r="I5" s="459" t="s">
        <v>105</v>
      </c>
      <c r="J5" s="459"/>
      <c r="K5" s="458"/>
      <c r="L5" s="457" t="s">
        <v>40</v>
      </c>
      <c r="M5" s="457"/>
      <c r="N5" s="457"/>
      <c r="O5" s="457"/>
      <c r="P5" s="459"/>
      <c r="Q5" s="491" t="s">
        <v>24</v>
      </c>
      <c r="R5" s="492"/>
      <c r="S5" s="492"/>
      <c r="T5" s="492"/>
      <c r="U5" s="492"/>
      <c r="V5" s="492"/>
      <c r="W5" s="492"/>
      <c r="X5" s="492"/>
      <c r="Y5" s="492"/>
      <c r="Z5" s="492"/>
      <c r="AA5" s="465" t="s">
        <v>106</v>
      </c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90"/>
      <c r="AN5" s="467"/>
      <c r="AO5" s="437" t="s">
        <v>25</v>
      </c>
      <c r="AP5" s="437"/>
      <c r="AQ5" s="437"/>
      <c r="AR5" s="437"/>
      <c r="AS5" s="437"/>
      <c r="AT5" s="437"/>
      <c r="AU5" s="437"/>
      <c r="AV5" s="438"/>
      <c r="AW5" s="436" t="s">
        <v>107</v>
      </c>
      <c r="AX5" s="437"/>
      <c r="AY5" s="437"/>
      <c r="AZ5" s="437"/>
      <c r="BA5" s="437"/>
      <c r="BB5" s="438"/>
      <c r="BC5" s="465" t="s">
        <v>41</v>
      </c>
      <c r="BD5" s="467"/>
      <c r="BE5" s="478" t="s">
        <v>65</v>
      </c>
      <c r="BF5" s="478"/>
      <c r="BG5" s="478"/>
      <c r="BH5" s="478"/>
      <c r="BI5" s="478"/>
      <c r="BJ5" s="478"/>
      <c r="BK5" s="479"/>
      <c r="BL5" s="193" t="s">
        <v>108</v>
      </c>
      <c r="BM5" s="471" t="s">
        <v>259</v>
      </c>
      <c r="BN5" s="472"/>
    </row>
    <row r="6" spans="1:92" s="78" customFormat="1" ht="272.25" thickBot="1" x14ac:dyDescent="0.2">
      <c r="A6" s="483"/>
      <c r="B6" s="486"/>
      <c r="C6" s="455"/>
      <c r="D6" s="146" t="s">
        <v>42</v>
      </c>
      <c r="E6" s="147" t="s">
        <v>151</v>
      </c>
      <c r="F6" s="148" t="s">
        <v>152</v>
      </c>
      <c r="G6" s="149" t="s">
        <v>153</v>
      </c>
      <c r="H6" s="150" t="s">
        <v>154</v>
      </c>
      <c r="I6" s="151" t="s">
        <v>155</v>
      </c>
      <c r="J6" s="151" t="s">
        <v>224</v>
      </c>
      <c r="K6" s="150" t="s">
        <v>156</v>
      </c>
      <c r="L6" s="149" t="s">
        <v>70</v>
      </c>
      <c r="M6" s="149" t="s">
        <v>71</v>
      </c>
      <c r="N6" s="149" t="s">
        <v>249</v>
      </c>
      <c r="O6" s="149" t="s">
        <v>43</v>
      </c>
      <c r="P6" s="151" t="s">
        <v>72</v>
      </c>
      <c r="Q6" s="146" t="s">
        <v>44</v>
      </c>
      <c r="R6" s="149" t="s">
        <v>73</v>
      </c>
      <c r="S6" s="149" t="s">
        <v>109</v>
      </c>
      <c r="T6" s="149" t="s">
        <v>261</v>
      </c>
      <c r="U6" s="149" t="s">
        <v>74</v>
      </c>
      <c r="V6" s="149" t="s">
        <v>75</v>
      </c>
      <c r="W6" s="149" t="s">
        <v>76</v>
      </c>
      <c r="X6" s="149" t="s">
        <v>77</v>
      </c>
      <c r="Y6" s="149" t="s">
        <v>66</v>
      </c>
      <c r="Z6" s="149" t="s">
        <v>78</v>
      </c>
      <c r="AA6" s="146" t="s">
        <v>79</v>
      </c>
      <c r="AB6" s="149" t="s">
        <v>45</v>
      </c>
      <c r="AC6" s="149" t="s">
        <v>80</v>
      </c>
      <c r="AD6" s="149" t="s">
        <v>81</v>
      </c>
      <c r="AE6" s="149" t="s">
        <v>82</v>
      </c>
      <c r="AF6" s="149" t="s">
        <v>83</v>
      </c>
      <c r="AG6" s="149" t="s">
        <v>110</v>
      </c>
      <c r="AH6" s="149" t="s">
        <v>84</v>
      </c>
      <c r="AI6" s="149" t="s">
        <v>85</v>
      </c>
      <c r="AJ6" s="149" t="s">
        <v>86</v>
      </c>
      <c r="AK6" s="149" t="s">
        <v>87</v>
      </c>
      <c r="AL6" s="149" t="s">
        <v>88</v>
      </c>
      <c r="AM6" s="151" t="s">
        <v>46</v>
      </c>
      <c r="AN6" s="150" t="s">
        <v>89</v>
      </c>
      <c r="AO6" s="149" t="s">
        <v>90</v>
      </c>
      <c r="AP6" s="149" t="s">
        <v>91</v>
      </c>
      <c r="AQ6" s="149" t="s">
        <v>47</v>
      </c>
      <c r="AR6" s="149" t="s">
        <v>48</v>
      </c>
      <c r="AS6" s="149" t="s">
        <v>111</v>
      </c>
      <c r="AT6" s="149" t="s">
        <v>92</v>
      </c>
      <c r="AU6" s="149" t="s">
        <v>93</v>
      </c>
      <c r="AV6" s="150" t="s">
        <v>49</v>
      </c>
      <c r="AW6" s="146" t="s">
        <v>94</v>
      </c>
      <c r="AX6" s="149" t="s">
        <v>50</v>
      </c>
      <c r="AY6" s="149" t="s">
        <v>112</v>
      </c>
      <c r="AZ6" s="149" t="s">
        <v>113</v>
      </c>
      <c r="BA6" s="149" t="s">
        <v>114</v>
      </c>
      <c r="BB6" s="150" t="s">
        <v>115</v>
      </c>
      <c r="BC6" s="146" t="s">
        <v>116</v>
      </c>
      <c r="BD6" s="150" t="s">
        <v>117</v>
      </c>
      <c r="BE6" s="148" t="s">
        <v>95</v>
      </c>
      <c r="BF6" s="152" t="s">
        <v>51</v>
      </c>
      <c r="BG6" s="152" t="s">
        <v>52</v>
      </c>
      <c r="BH6" s="152" t="s">
        <v>53</v>
      </c>
      <c r="BI6" s="152" t="s">
        <v>96</v>
      </c>
      <c r="BJ6" s="149" t="s">
        <v>54</v>
      </c>
      <c r="BK6" s="150" t="s">
        <v>19</v>
      </c>
      <c r="BL6" s="147" t="s">
        <v>55</v>
      </c>
      <c r="BM6" s="149" t="s">
        <v>257</v>
      </c>
      <c r="BN6" s="329" t="s">
        <v>258</v>
      </c>
    </row>
    <row r="7" spans="1:92" s="87" customFormat="1" ht="39.950000000000003" customHeight="1" thickTop="1" thickBot="1" x14ac:dyDescent="0.2">
      <c r="A7" s="80" t="s">
        <v>56</v>
      </c>
      <c r="B7" s="143">
        <f t="shared" ref="B7:B15" si="0">C7</f>
        <v>1166</v>
      </c>
      <c r="C7" s="144">
        <f>SUM(D7:BN7)</f>
        <v>1166</v>
      </c>
      <c r="D7" s="81">
        <f>D8+D9+D10+D11+D17</f>
        <v>4</v>
      </c>
      <c r="E7" s="82">
        <f>E8+E9+E10+E11+E17</f>
        <v>1</v>
      </c>
      <c r="F7" s="83">
        <f>F8+F9+F10+F11+F17</f>
        <v>9</v>
      </c>
      <c r="G7" s="83">
        <f t="shared" ref="G7:H7" si="1">G8+G9+G10+G11+G17</f>
        <v>1</v>
      </c>
      <c r="H7" s="85">
        <f t="shared" si="1"/>
        <v>1</v>
      </c>
      <c r="I7" s="83">
        <f>I8+I9+I10+I11+I17</f>
        <v>5</v>
      </c>
      <c r="J7" s="83">
        <f t="shared" ref="J7:K7" si="2">J8+J9+J10+J11+J17</f>
        <v>2</v>
      </c>
      <c r="K7" s="85">
        <f t="shared" si="2"/>
        <v>2</v>
      </c>
      <c r="L7" s="83">
        <f>L8+L9+L10+L11+L17</f>
        <v>45</v>
      </c>
      <c r="M7" s="84">
        <f t="shared" ref="M7:P7" si="3">M8+M9+M10+M11+M17</f>
        <v>13</v>
      </c>
      <c r="N7" s="84">
        <f t="shared" si="3"/>
        <v>1</v>
      </c>
      <c r="O7" s="84">
        <f t="shared" si="3"/>
        <v>2</v>
      </c>
      <c r="P7" s="84">
        <f t="shared" si="3"/>
        <v>1</v>
      </c>
      <c r="Q7" s="81">
        <f>Q8+Q9+Q10+Q11+Q17</f>
        <v>168</v>
      </c>
      <c r="R7" s="84">
        <f>R8+R9+R10+R11+R17</f>
        <v>3</v>
      </c>
      <c r="S7" s="84">
        <f t="shared" ref="S7:Z7" si="4">S8+S9+S10+S11+S17</f>
        <v>11</v>
      </c>
      <c r="T7" s="84">
        <f t="shared" si="4"/>
        <v>6</v>
      </c>
      <c r="U7" s="84">
        <f t="shared" si="4"/>
        <v>31</v>
      </c>
      <c r="V7" s="84">
        <f t="shared" si="4"/>
        <v>1</v>
      </c>
      <c r="W7" s="84">
        <f t="shared" si="4"/>
        <v>12</v>
      </c>
      <c r="X7" s="84">
        <f t="shared" si="4"/>
        <v>3</v>
      </c>
      <c r="Y7" s="84">
        <f t="shared" si="4"/>
        <v>1</v>
      </c>
      <c r="Z7" s="84">
        <f t="shared" si="4"/>
        <v>6</v>
      </c>
      <c r="AA7" s="81">
        <f>AA8+AA9+AA10+AA11+AA17</f>
        <v>138</v>
      </c>
      <c r="AB7" s="83">
        <f t="shared" ref="AB7:AN7" si="5">AB8+AB9+AB10+AB11+AB17</f>
        <v>6</v>
      </c>
      <c r="AC7" s="83">
        <f t="shared" si="5"/>
        <v>2</v>
      </c>
      <c r="AD7" s="83">
        <f t="shared" si="5"/>
        <v>6</v>
      </c>
      <c r="AE7" s="83">
        <f t="shared" si="5"/>
        <v>1</v>
      </c>
      <c r="AF7" s="83">
        <f t="shared" si="5"/>
        <v>8</v>
      </c>
      <c r="AG7" s="83">
        <f t="shared" si="5"/>
        <v>1</v>
      </c>
      <c r="AH7" s="83">
        <f t="shared" si="5"/>
        <v>10</v>
      </c>
      <c r="AI7" s="83">
        <f t="shared" si="5"/>
        <v>1</v>
      </c>
      <c r="AJ7" s="83">
        <f t="shared" si="5"/>
        <v>3</v>
      </c>
      <c r="AK7" s="83">
        <f t="shared" si="5"/>
        <v>1</v>
      </c>
      <c r="AL7" s="83">
        <f t="shared" si="5"/>
        <v>35</v>
      </c>
      <c r="AM7" s="83">
        <f t="shared" si="5"/>
        <v>3</v>
      </c>
      <c r="AN7" s="85">
        <f t="shared" si="5"/>
        <v>12</v>
      </c>
      <c r="AO7" s="83">
        <f>AO8+AO9+AO10+AO11+AO17</f>
        <v>205</v>
      </c>
      <c r="AP7" s="83">
        <f t="shared" ref="AP7:AV7" si="6">AP8+AP9+AP10+AP11+AP17</f>
        <v>2</v>
      </c>
      <c r="AQ7" s="83">
        <f t="shared" si="6"/>
        <v>1</v>
      </c>
      <c r="AR7" s="83">
        <f t="shared" si="6"/>
        <v>65</v>
      </c>
      <c r="AS7" s="83">
        <f t="shared" si="6"/>
        <v>6</v>
      </c>
      <c r="AT7" s="83">
        <f t="shared" si="6"/>
        <v>2</v>
      </c>
      <c r="AU7" s="83">
        <f t="shared" si="6"/>
        <v>13</v>
      </c>
      <c r="AV7" s="85">
        <f t="shared" si="6"/>
        <v>4</v>
      </c>
      <c r="AW7" s="81">
        <f>AW8+AW9+AW10+AW11+AW17</f>
        <v>148</v>
      </c>
      <c r="AX7" s="84">
        <f>AX8+AX9+AX10+AX11+AX17</f>
        <v>54</v>
      </c>
      <c r="AY7" s="84">
        <f t="shared" ref="AY7:BB7" si="7">AY8+AY9+AY10+AY11+AY17</f>
        <v>2</v>
      </c>
      <c r="AZ7" s="84">
        <f t="shared" si="7"/>
        <v>18</v>
      </c>
      <c r="BA7" s="84">
        <f t="shared" si="7"/>
        <v>39</v>
      </c>
      <c r="BB7" s="84">
        <f t="shared" si="7"/>
        <v>1</v>
      </c>
      <c r="BC7" s="81">
        <f>BC8+BC9+BC10+BC11+BC17</f>
        <v>3</v>
      </c>
      <c r="BD7" s="85">
        <f>BD8+BD9+BD10+BD11+BD17</f>
        <v>14</v>
      </c>
      <c r="BE7" s="83">
        <f>BE8+BE9+BE10+BE11+BE17</f>
        <v>1</v>
      </c>
      <c r="BF7" s="83">
        <f t="shared" ref="BF7:BK7" si="8">BF8+BF9+BF10+BF11+BF17</f>
        <v>3</v>
      </c>
      <c r="BG7" s="83">
        <f t="shared" si="8"/>
        <v>11</v>
      </c>
      <c r="BH7" s="83">
        <f t="shared" si="8"/>
        <v>2</v>
      </c>
      <c r="BI7" s="83">
        <f t="shared" si="8"/>
        <v>1</v>
      </c>
      <c r="BJ7" s="83">
        <f t="shared" si="8"/>
        <v>4</v>
      </c>
      <c r="BK7" s="85">
        <f t="shared" si="8"/>
        <v>4</v>
      </c>
      <c r="BL7" s="82">
        <f>BL8+BL9+BL10+BL11+BL17</f>
        <v>3</v>
      </c>
      <c r="BM7" s="82">
        <f t="shared" ref="BM7:BN7" si="9">BM8+BM9+BM10+BM11+BM17</f>
        <v>2</v>
      </c>
      <c r="BN7" s="330">
        <f t="shared" si="9"/>
        <v>2</v>
      </c>
    </row>
    <row r="8" spans="1:92" s="87" customFormat="1" ht="39.950000000000003" customHeight="1" thickTop="1" x14ac:dyDescent="0.15">
      <c r="A8" s="88" t="s">
        <v>57</v>
      </c>
      <c r="B8" s="89">
        <f t="shared" si="0"/>
        <v>30</v>
      </c>
      <c r="C8" s="162">
        <f t="shared" ref="C8:C16" si="10">SUM(D8:BL8)</f>
        <v>30</v>
      </c>
      <c r="D8" s="90"/>
      <c r="E8" s="91">
        <v>1</v>
      </c>
      <c r="F8" s="92">
        <v>1</v>
      </c>
      <c r="G8" s="93"/>
      <c r="H8" s="94"/>
      <c r="I8" s="95">
        <f>1+1</f>
        <v>2</v>
      </c>
      <c r="J8" s="95"/>
      <c r="K8" s="94"/>
      <c r="L8" s="93">
        <v>5</v>
      </c>
      <c r="M8" s="93"/>
      <c r="N8" s="93"/>
      <c r="O8" s="93">
        <v>1</v>
      </c>
      <c r="P8" s="95">
        <v>1</v>
      </c>
      <c r="Q8" s="90">
        <v>5</v>
      </c>
      <c r="R8" s="93"/>
      <c r="S8" s="93"/>
      <c r="T8" s="93"/>
      <c r="U8" s="93"/>
      <c r="V8" s="93"/>
      <c r="W8" s="93"/>
      <c r="X8" s="93"/>
      <c r="Y8" s="93"/>
      <c r="Z8" s="93"/>
      <c r="AA8" s="90">
        <v>1</v>
      </c>
      <c r="AB8" s="93"/>
      <c r="AC8" s="93"/>
      <c r="AD8" s="93"/>
      <c r="AE8" s="93"/>
      <c r="AF8" s="93"/>
      <c r="AG8" s="93"/>
      <c r="AH8" s="93"/>
      <c r="AI8" s="93"/>
      <c r="AJ8" s="93"/>
      <c r="AK8" s="93">
        <v>1</v>
      </c>
      <c r="AL8" s="93"/>
      <c r="AM8" s="95"/>
      <c r="AN8" s="94"/>
      <c r="AO8" s="93">
        <v>1</v>
      </c>
      <c r="AP8" s="93"/>
      <c r="AQ8" s="93"/>
      <c r="AR8" s="93"/>
      <c r="AS8" s="93"/>
      <c r="AT8" s="93"/>
      <c r="AU8" s="93"/>
      <c r="AV8" s="94"/>
      <c r="AW8" s="90">
        <v>4</v>
      </c>
      <c r="AX8" s="93"/>
      <c r="AY8" s="93">
        <v>1</v>
      </c>
      <c r="AZ8" s="93"/>
      <c r="BA8" s="93">
        <v>2</v>
      </c>
      <c r="BB8" s="94">
        <v>1</v>
      </c>
      <c r="BC8" s="90"/>
      <c r="BD8" s="94"/>
      <c r="BE8" s="92"/>
      <c r="BF8" s="93"/>
      <c r="BG8" s="93"/>
      <c r="BH8" s="93"/>
      <c r="BI8" s="93"/>
      <c r="BJ8" s="93"/>
      <c r="BK8" s="94"/>
      <c r="BL8" s="91">
        <v>3</v>
      </c>
      <c r="BM8" s="195"/>
      <c r="BN8" s="331"/>
    </row>
    <row r="9" spans="1:92" s="87" customFormat="1" ht="39.950000000000003" customHeight="1" x14ac:dyDescent="0.15">
      <c r="A9" s="96" t="s">
        <v>58</v>
      </c>
      <c r="B9" s="127">
        <f t="shared" si="0"/>
        <v>236</v>
      </c>
      <c r="C9" s="163">
        <f t="shared" si="10"/>
        <v>236</v>
      </c>
      <c r="D9" s="97">
        <v>1</v>
      </c>
      <c r="E9" s="98"/>
      <c r="F9" s="99"/>
      <c r="G9" s="79">
        <v>1</v>
      </c>
      <c r="H9" s="100"/>
      <c r="I9" s="101"/>
      <c r="J9" s="101">
        <v>2</v>
      </c>
      <c r="K9" s="100"/>
      <c r="L9" s="79"/>
      <c r="M9" s="79">
        <v>13</v>
      </c>
      <c r="N9" s="79">
        <v>1</v>
      </c>
      <c r="O9" s="79"/>
      <c r="P9" s="101"/>
      <c r="Q9" s="97">
        <v>6</v>
      </c>
      <c r="R9" s="79">
        <v>3</v>
      </c>
      <c r="S9" s="79"/>
      <c r="T9" s="79"/>
      <c r="U9" s="364">
        <f>5-1-4+1</f>
        <v>1</v>
      </c>
      <c r="V9" s="79">
        <v>1</v>
      </c>
      <c r="W9" s="294">
        <v>12</v>
      </c>
      <c r="X9" s="294">
        <v>3</v>
      </c>
      <c r="Y9" s="294">
        <v>1</v>
      </c>
      <c r="Z9" s="294">
        <v>1</v>
      </c>
      <c r="AA9" s="295">
        <v>10</v>
      </c>
      <c r="AB9" s="294">
        <v>1</v>
      </c>
      <c r="AC9" s="294"/>
      <c r="AD9" s="294">
        <v>1</v>
      </c>
      <c r="AE9" s="294">
        <v>1</v>
      </c>
      <c r="AF9" s="294">
        <v>3</v>
      </c>
      <c r="AG9" s="294">
        <v>1</v>
      </c>
      <c r="AH9" s="294"/>
      <c r="AI9" s="294"/>
      <c r="AJ9" s="294"/>
      <c r="AK9" s="294"/>
      <c r="AL9" s="364">
        <f>28-26+1</f>
        <v>3</v>
      </c>
      <c r="AM9" s="296">
        <v>3</v>
      </c>
      <c r="AN9" s="297">
        <v>12</v>
      </c>
      <c r="AO9" s="294">
        <v>7</v>
      </c>
      <c r="AP9" s="294"/>
      <c r="AQ9" s="294">
        <v>1</v>
      </c>
      <c r="AR9" s="369">
        <f>34+30-2+1</f>
        <v>63</v>
      </c>
      <c r="AS9" s="294"/>
      <c r="AT9" s="294"/>
      <c r="AU9" s="294">
        <v>7</v>
      </c>
      <c r="AV9" s="297">
        <v>4</v>
      </c>
      <c r="AW9" s="295">
        <v>1</v>
      </c>
      <c r="AX9" s="294">
        <v>22</v>
      </c>
      <c r="AY9" s="294"/>
      <c r="AZ9" s="294">
        <f>10+2+1</f>
        <v>13</v>
      </c>
      <c r="BA9" s="294">
        <v>20</v>
      </c>
      <c r="BB9" s="297"/>
      <c r="BC9" s="295"/>
      <c r="BD9" s="297"/>
      <c r="BE9" s="295"/>
      <c r="BF9" s="345">
        <f>4-1</f>
        <v>3</v>
      </c>
      <c r="BG9" s="294">
        <v>11</v>
      </c>
      <c r="BH9" s="294">
        <f>2-1+1</f>
        <v>2</v>
      </c>
      <c r="BI9" s="294"/>
      <c r="BJ9" s="294"/>
      <c r="BK9" s="297">
        <v>1</v>
      </c>
      <c r="BL9" s="298"/>
      <c r="BM9" s="299"/>
      <c r="BN9" s="332"/>
      <c r="BO9" s="328" t="s">
        <v>266</v>
      </c>
    </row>
    <row r="10" spans="1:92" s="87" customFormat="1" ht="39.950000000000003" customHeight="1" x14ac:dyDescent="0.15">
      <c r="A10" s="88" t="s">
        <v>222</v>
      </c>
      <c r="B10" s="145">
        <f t="shared" si="0"/>
        <v>34</v>
      </c>
      <c r="C10" s="162">
        <f t="shared" si="10"/>
        <v>34</v>
      </c>
      <c r="D10" s="90"/>
      <c r="E10" s="91"/>
      <c r="F10" s="92"/>
      <c r="G10" s="93"/>
      <c r="H10" s="94">
        <v>1</v>
      </c>
      <c r="I10" s="95"/>
      <c r="J10" s="95"/>
      <c r="K10" s="94">
        <v>2</v>
      </c>
      <c r="L10" s="93">
        <f>0+1</f>
        <v>1</v>
      </c>
      <c r="M10" s="93"/>
      <c r="N10" s="93"/>
      <c r="O10" s="93">
        <v>1</v>
      </c>
      <c r="P10" s="95"/>
      <c r="Q10" s="90">
        <f>3-1</f>
        <v>2</v>
      </c>
      <c r="R10" s="93"/>
      <c r="S10" s="93"/>
      <c r="T10" s="93"/>
      <c r="U10" s="93"/>
      <c r="V10" s="93"/>
      <c r="W10" s="299"/>
      <c r="X10" s="299"/>
      <c r="Y10" s="299"/>
      <c r="Z10" s="299"/>
      <c r="AA10" s="301">
        <v>5</v>
      </c>
      <c r="AB10" s="299"/>
      <c r="AC10" s="299"/>
      <c r="AD10" s="299"/>
      <c r="AE10" s="299"/>
      <c r="AF10" s="299"/>
      <c r="AG10" s="299"/>
      <c r="AH10" s="299"/>
      <c r="AI10" s="299"/>
      <c r="AJ10" s="299"/>
      <c r="AK10" s="299"/>
      <c r="AL10" s="299"/>
      <c r="AM10" s="300"/>
      <c r="AN10" s="302"/>
      <c r="AO10" s="301">
        <f>3-1</f>
        <v>2</v>
      </c>
      <c r="AP10" s="299"/>
      <c r="AQ10" s="299"/>
      <c r="AR10" s="299"/>
      <c r="AS10" s="299"/>
      <c r="AT10" s="299"/>
      <c r="AU10" s="299"/>
      <c r="AV10" s="302"/>
      <c r="AW10" s="301">
        <v>3</v>
      </c>
      <c r="AX10" s="299"/>
      <c r="AY10" s="299"/>
      <c r="AZ10" s="299"/>
      <c r="BA10" s="299">
        <v>1</v>
      </c>
      <c r="BB10" s="302"/>
      <c r="BC10" s="301">
        <v>3</v>
      </c>
      <c r="BD10" s="302">
        <v>12</v>
      </c>
      <c r="BE10" s="301"/>
      <c r="BF10" s="299"/>
      <c r="BG10" s="299"/>
      <c r="BH10" s="299"/>
      <c r="BI10" s="299"/>
      <c r="BJ10" s="299">
        <v>1</v>
      </c>
      <c r="BK10" s="302"/>
      <c r="BL10" s="303"/>
      <c r="BM10" s="299"/>
      <c r="BN10" s="332"/>
      <c r="BO10" s="476"/>
      <c r="BP10" s="477"/>
      <c r="BQ10" s="477"/>
      <c r="BR10" s="477"/>
      <c r="BS10" s="477"/>
      <c r="BT10" s="477"/>
      <c r="BU10" s="477"/>
      <c r="BV10" s="477"/>
      <c r="BW10" s="477"/>
      <c r="BX10" s="477"/>
      <c r="BY10" s="477"/>
      <c r="BZ10" s="477"/>
    </row>
    <row r="11" spans="1:92" s="87" customFormat="1" ht="39.950000000000003" customHeight="1" x14ac:dyDescent="0.15">
      <c r="A11" s="102" t="s">
        <v>59</v>
      </c>
      <c r="B11" s="128">
        <f t="shared" si="0"/>
        <v>842</v>
      </c>
      <c r="C11" s="164">
        <f t="shared" si="10"/>
        <v>842</v>
      </c>
      <c r="D11" s="103">
        <f>SUM(D12:D16)</f>
        <v>3</v>
      </c>
      <c r="E11" s="104">
        <f t="shared" ref="E11" si="11">SUM(E12:E16)</f>
        <v>0</v>
      </c>
      <c r="F11" s="105">
        <f>SUM(F12:F16)</f>
        <v>6</v>
      </c>
      <c r="G11" s="106"/>
      <c r="H11" s="107"/>
      <c r="I11" s="106">
        <f>SUM(I12:I16)</f>
        <v>3</v>
      </c>
      <c r="J11" s="108"/>
      <c r="K11" s="107"/>
      <c r="L11" s="106">
        <f>SUM(L12:L16)</f>
        <v>35</v>
      </c>
      <c r="M11" s="106"/>
      <c r="N11" s="106"/>
      <c r="O11" s="106"/>
      <c r="P11" s="108"/>
      <c r="Q11" s="103">
        <f>SUM(Q12:Q16)</f>
        <v>155</v>
      </c>
      <c r="R11" s="106"/>
      <c r="S11" s="106">
        <f>SUM(S12:S16)</f>
        <v>11</v>
      </c>
      <c r="T11" s="106"/>
      <c r="U11" s="368">
        <f>SUM(U12:U16)</f>
        <v>30</v>
      </c>
      <c r="V11" s="106"/>
      <c r="W11" s="276"/>
      <c r="X11" s="276"/>
      <c r="Y11" s="276"/>
      <c r="Z11" s="276">
        <v>5</v>
      </c>
      <c r="AA11" s="280">
        <f>SUM(AA12:AA16)</f>
        <v>118</v>
      </c>
      <c r="AB11" s="276">
        <f t="shared" ref="AB11:AD11" si="12">SUM(AB12:AB16)</f>
        <v>5</v>
      </c>
      <c r="AC11" s="276">
        <f t="shared" si="12"/>
        <v>2</v>
      </c>
      <c r="AD11" s="276">
        <f t="shared" si="12"/>
        <v>5</v>
      </c>
      <c r="AE11" s="276"/>
      <c r="AF11" s="276">
        <f>SUM(AF12:AF16)</f>
        <v>5</v>
      </c>
      <c r="AG11" s="276"/>
      <c r="AH11" s="276">
        <f>SUM(AH12:AH16)</f>
        <v>10</v>
      </c>
      <c r="AI11" s="276">
        <f>SUM(AI12:AI16)</f>
        <v>1</v>
      </c>
      <c r="AJ11" s="276">
        <f>SUM(AJ12:AJ16)</f>
        <v>3</v>
      </c>
      <c r="AK11" s="276"/>
      <c r="AL11" s="276">
        <f>SUM(AL12:AL16)</f>
        <v>32</v>
      </c>
      <c r="AM11" s="277"/>
      <c r="AN11" s="278"/>
      <c r="AO11" s="276">
        <f>SUM(AO12:AO16)</f>
        <v>193</v>
      </c>
      <c r="AP11" s="279">
        <f t="shared" ref="AP11:AR11" si="13">SUM(AP12:AP16)</f>
        <v>2</v>
      </c>
      <c r="AQ11" s="279"/>
      <c r="AR11" s="363">
        <f t="shared" si="13"/>
        <v>2</v>
      </c>
      <c r="AS11" s="279">
        <f>SUM(AS12:AS16)</f>
        <v>6</v>
      </c>
      <c r="AT11" s="276">
        <f>SUM(AT12:AT16)</f>
        <v>2</v>
      </c>
      <c r="AU11" s="279">
        <f t="shared" ref="AU11" si="14">SUM(AU12:AU16)</f>
        <v>6</v>
      </c>
      <c r="AV11" s="278"/>
      <c r="AW11" s="304">
        <f>SUM(AW12:AW16)</f>
        <v>140</v>
      </c>
      <c r="AX11" s="305">
        <f>SUM(AX12:AX16)</f>
        <v>32</v>
      </c>
      <c r="AY11" s="276">
        <f>SUM(AY12:AY16)</f>
        <v>1</v>
      </c>
      <c r="AZ11" s="279">
        <f>SUM(AZ12:AZ16)</f>
        <v>5</v>
      </c>
      <c r="BA11" s="279">
        <f t="shared" ref="BA11" si="15">SUM(BA12:BA16)</f>
        <v>16</v>
      </c>
      <c r="BB11" s="278"/>
      <c r="BC11" s="280"/>
      <c r="BD11" s="278"/>
      <c r="BE11" s="281">
        <f>SUM(BE12:BE16)</f>
        <v>1</v>
      </c>
      <c r="BF11" s="276"/>
      <c r="BG11" s="276"/>
      <c r="BH11" s="279">
        <f t="shared" ref="BH11:BK11" si="16">SUM(BH12:BH16)</f>
        <v>0</v>
      </c>
      <c r="BI11" s="276">
        <f t="shared" si="16"/>
        <v>1</v>
      </c>
      <c r="BJ11" s="279">
        <f t="shared" si="16"/>
        <v>3</v>
      </c>
      <c r="BK11" s="278">
        <f t="shared" si="16"/>
        <v>3</v>
      </c>
      <c r="BL11" s="306"/>
      <c r="BM11" s="305"/>
      <c r="BN11" s="333"/>
    </row>
    <row r="12" spans="1:92" s="87" customFormat="1" ht="39.950000000000003" customHeight="1" x14ac:dyDescent="0.15">
      <c r="A12" s="110" t="s">
        <v>60</v>
      </c>
      <c r="B12" s="116">
        <f t="shared" si="0"/>
        <v>213</v>
      </c>
      <c r="C12" s="165">
        <f t="shared" si="10"/>
        <v>213</v>
      </c>
      <c r="D12" s="111">
        <v>1</v>
      </c>
      <c r="E12" s="112"/>
      <c r="F12" s="113">
        <v>2</v>
      </c>
      <c r="G12" s="109"/>
      <c r="H12" s="114"/>
      <c r="I12" s="115">
        <v>1</v>
      </c>
      <c r="J12" s="115"/>
      <c r="K12" s="114"/>
      <c r="L12" s="109">
        <v>6</v>
      </c>
      <c r="M12" s="109"/>
      <c r="N12" s="109"/>
      <c r="O12" s="109"/>
      <c r="P12" s="115"/>
      <c r="Q12" s="111">
        <v>36</v>
      </c>
      <c r="R12" s="109"/>
      <c r="S12" s="109">
        <v>3</v>
      </c>
      <c r="T12" s="109"/>
      <c r="U12" s="109">
        <f>0+7</f>
        <v>7</v>
      </c>
      <c r="V12" s="109"/>
      <c r="W12" s="279"/>
      <c r="X12" s="279"/>
      <c r="Y12" s="279"/>
      <c r="Z12" s="279">
        <v>1</v>
      </c>
      <c r="AA12" s="286">
        <v>30</v>
      </c>
      <c r="AB12" s="279">
        <v>1</v>
      </c>
      <c r="AC12" s="279"/>
      <c r="AD12" s="279">
        <v>1</v>
      </c>
      <c r="AE12" s="279"/>
      <c r="AF12" s="279">
        <v>1</v>
      </c>
      <c r="AG12" s="279"/>
      <c r="AH12" s="279">
        <v>4</v>
      </c>
      <c r="AI12" s="279">
        <v>1</v>
      </c>
      <c r="AJ12" s="279">
        <v>1</v>
      </c>
      <c r="AK12" s="279"/>
      <c r="AL12" s="279">
        <f>0+6+1</f>
        <v>7</v>
      </c>
      <c r="AM12" s="284"/>
      <c r="AN12" s="285"/>
      <c r="AO12" s="279">
        <f>49+2</f>
        <v>51</v>
      </c>
      <c r="AP12" s="279">
        <f>1+1</f>
        <v>2</v>
      </c>
      <c r="AQ12" s="279"/>
      <c r="AR12" s="279"/>
      <c r="AS12" s="279"/>
      <c r="AT12" s="279"/>
      <c r="AU12" s="279">
        <v>0</v>
      </c>
      <c r="AV12" s="285"/>
      <c r="AW12" s="276">
        <v>41</v>
      </c>
      <c r="AX12" s="279">
        <f>0+6+1</f>
        <v>7</v>
      </c>
      <c r="AY12" s="279">
        <v>1</v>
      </c>
      <c r="AZ12" s="279">
        <f>3-2</f>
        <v>1</v>
      </c>
      <c r="BA12" s="279">
        <v>5</v>
      </c>
      <c r="BB12" s="285"/>
      <c r="BC12" s="286"/>
      <c r="BD12" s="285"/>
      <c r="BE12" s="279">
        <f>1-1</f>
        <v>0</v>
      </c>
      <c r="BF12" s="279"/>
      <c r="BG12" s="279"/>
      <c r="BH12" s="279"/>
      <c r="BI12" s="279"/>
      <c r="BJ12" s="279">
        <v>1</v>
      </c>
      <c r="BK12" s="285">
        <v>1</v>
      </c>
      <c r="BL12" s="308"/>
      <c r="BM12" s="279"/>
      <c r="BN12" s="283"/>
      <c r="BO12" s="473"/>
      <c r="BP12" s="473"/>
      <c r="BQ12" s="473"/>
      <c r="BR12" s="473"/>
      <c r="BS12" s="473"/>
      <c r="BT12" s="473"/>
      <c r="BU12" s="473"/>
      <c r="BV12" s="473"/>
      <c r="BW12" s="473"/>
      <c r="BX12" s="473"/>
      <c r="BY12" s="473"/>
      <c r="BZ12" s="473"/>
      <c r="CA12" s="473"/>
      <c r="CB12" s="473"/>
      <c r="CC12" s="473"/>
      <c r="CD12" s="473"/>
      <c r="CE12" s="473"/>
      <c r="CF12" s="473"/>
      <c r="CG12" s="473"/>
      <c r="CH12" s="473"/>
      <c r="CI12" s="473"/>
      <c r="CJ12" s="473"/>
      <c r="CK12" s="473"/>
      <c r="CL12" s="473"/>
      <c r="CM12" s="473"/>
      <c r="CN12" s="473"/>
    </row>
    <row r="13" spans="1:92" s="87" customFormat="1" ht="39.950000000000003" customHeight="1" x14ac:dyDescent="0.15">
      <c r="A13" s="110" t="s">
        <v>61</v>
      </c>
      <c r="B13" s="116">
        <f t="shared" si="0"/>
        <v>203</v>
      </c>
      <c r="C13" s="165">
        <f t="shared" si="10"/>
        <v>203</v>
      </c>
      <c r="D13" s="111">
        <v>1</v>
      </c>
      <c r="E13" s="112"/>
      <c r="F13" s="113">
        <v>1</v>
      </c>
      <c r="G13" s="109"/>
      <c r="H13" s="114"/>
      <c r="I13" s="115">
        <v>1</v>
      </c>
      <c r="J13" s="115"/>
      <c r="K13" s="114"/>
      <c r="L13" s="109">
        <v>8</v>
      </c>
      <c r="M13" s="109"/>
      <c r="N13" s="109"/>
      <c r="O13" s="109"/>
      <c r="P13" s="115"/>
      <c r="Q13" s="111">
        <v>36</v>
      </c>
      <c r="R13" s="109"/>
      <c r="S13" s="109">
        <v>2</v>
      </c>
      <c r="T13" s="109"/>
      <c r="U13" s="109">
        <f>0+8</f>
        <v>8</v>
      </c>
      <c r="V13" s="109"/>
      <c r="W13" s="279"/>
      <c r="X13" s="279"/>
      <c r="Y13" s="279"/>
      <c r="Z13" s="279">
        <v>1</v>
      </c>
      <c r="AA13" s="286">
        <v>26</v>
      </c>
      <c r="AB13" s="279">
        <v>1</v>
      </c>
      <c r="AC13" s="279"/>
      <c r="AD13" s="279">
        <v>1</v>
      </c>
      <c r="AE13" s="279"/>
      <c r="AF13" s="279">
        <v>1</v>
      </c>
      <c r="AG13" s="279"/>
      <c r="AH13" s="279">
        <v>4</v>
      </c>
      <c r="AI13" s="279"/>
      <c r="AJ13" s="279">
        <v>1</v>
      </c>
      <c r="AK13" s="279"/>
      <c r="AL13" s="279">
        <f>0+7+1</f>
        <v>8</v>
      </c>
      <c r="AM13" s="284"/>
      <c r="AN13" s="285"/>
      <c r="AO13" s="279">
        <f>46+1</f>
        <v>47</v>
      </c>
      <c r="AP13" s="279"/>
      <c r="AQ13" s="279"/>
      <c r="AR13" s="279"/>
      <c r="AS13" s="279">
        <v>4</v>
      </c>
      <c r="AT13" s="279"/>
      <c r="AU13" s="279">
        <v>2</v>
      </c>
      <c r="AV13" s="285"/>
      <c r="AW13" s="276">
        <f>32+1</f>
        <v>33</v>
      </c>
      <c r="AX13" s="279">
        <f>0+7+1</f>
        <v>8</v>
      </c>
      <c r="AY13" s="279"/>
      <c r="AZ13" s="279">
        <v>1</v>
      </c>
      <c r="BA13" s="279">
        <v>4</v>
      </c>
      <c r="BB13" s="285"/>
      <c r="BC13" s="286"/>
      <c r="BD13" s="285"/>
      <c r="BE13" s="286"/>
      <c r="BF13" s="279"/>
      <c r="BG13" s="279"/>
      <c r="BH13" s="279"/>
      <c r="BI13" s="279"/>
      <c r="BJ13" s="279">
        <v>2</v>
      </c>
      <c r="BK13" s="285">
        <f>3-1</f>
        <v>2</v>
      </c>
      <c r="BL13" s="308"/>
      <c r="BM13" s="279"/>
      <c r="BN13" s="283"/>
      <c r="BO13" s="468"/>
      <c r="BP13" s="470"/>
      <c r="BQ13" s="470"/>
      <c r="BR13" s="470"/>
      <c r="BS13" s="470"/>
      <c r="BT13" s="470"/>
      <c r="BU13" s="470"/>
      <c r="BV13" s="470"/>
      <c r="BW13" s="470"/>
      <c r="BX13" s="470"/>
      <c r="BY13" s="470"/>
      <c r="BZ13" s="470"/>
      <c r="CA13" s="470"/>
      <c r="CB13" s="470"/>
      <c r="CC13" s="470"/>
      <c r="CD13" s="470"/>
      <c r="CE13" s="470"/>
      <c r="CF13" s="470"/>
      <c r="CG13" s="470"/>
      <c r="CH13" s="470"/>
      <c r="CI13" s="470"/>
      <c r="CJ13" s="470"/>
      <c r="CK13" s="470"/>
    </row>
    <row r="14" spans="1:92" s="87" customFormat="1" ht="39.950000000000003" customHeight="1" x14ac:dyDescent="0.15">
      <c r="A14" s="110" t="s">
        <v>62</v>
      </c>
      <c r="B14" s="116">
        <f t="shared" si="0"/>
        <v>166</v>
      </c>
      <c r="C14" s="165">
        <f t="shared" si="10"/>
        <v>166</v>
      </c>
      <c r="D14" s="111">
        <v>1</v>
      </c>
      <c r="E14" s="112"/>
      <c r="F14" s="113">
        <v>1</v>
      </c>
      <c r="G14" s="109"/>
      <c r="H14" s="114"/>
      <c r="I14" s="115">
        <v>1</v>
      </c>
      <c r="J14" s="115"/>
      <c r="K14" s="114"/>
      <c r="L14" s="109">
        <v>6</v>
      </c>
      <c r="M14" s="109"/>
      <c r="N14" s="109"/>
      <c r="O14" s="109"/>
      <c r="P14" s="115"/>
      <c r="Q14" s="111">
        <v>33</v>
      </c>
      <c r="R14" s="109"/>
      <c r="S14" s="109">
        <v>2</v>
      </c>
      <c r="T14" s="109"/>
      <c r="U14" s="109">
        <f>0+6</f>
        <v>6</v>
      </c>
      <c r="V14" s="109"/>
      <c r="W14" s="279"/>
      <c r="X14" s="279"/>
      <c r="Y14" s="279"/>
      <c r="Z14" s="279">
        <v>1</v>
      </c>
      <c r="AA14" s="286">
        <v>25</v>
      </c>
      <c r="AB14" s="279">
        <v>1</v>
      </c>
      <c r="AC14" s="279"/>
      <c r="AD14" s="279">
        <v>1</v>
      </c>
      <c r="AE14" s="279"/>
      <c r="AF14" s="279">
        <v>1</v>
      </c>
      <c r="AG14" s="279"/>
      <c r="AH14" s="279">
        <v>2</v>
      </c>
      <c r="AI14" s="279"/>
      <c r="AJ14" s="279">
        <v>1</v>
      </c>
      <c r="AK14" s="279"/>
      <c r="AL14" s="279">
        <f>0+5+1</f>
        <v>6</v>
      </c>
      <c r="AM14" s="284"/>
      <c r="AN14" s="285"/>
      <c r="AO14" s="279">
        <f>37+2</f>
        <v>39</v>
      </c>
      <c r="AP14" s="279"/>
      <c r="AQ14" s="279"/>
      <c r="AR14" s="279"/>
      <c r="AS14" s="279"/>
      <c r="AT14" s="279"/>
      <c r="AU14" s="279">
        <v>2</v>
      </c>
      <c r="AV14" s="285"/>
      <c r="AW14" s="286">
        <v>27</v>
      </c>
      <c r="AX14" s="279">
        <f>0+5+1</f>
        <v>6</v>
      </c>
      <c r="AY14" s="279"/>
      <c r="AZ14" s="279">
        <v>0</v>
      </c>
      <c r="BA14" s="279">
        <v>2</v>
      </c>
      <c r="BB14" s="285"/>
      <c r="BC14" s="286"/>
      <c r="BD14" s="285"/>
      <c r="BE14" s="286">
        <v>1</v>
      </c>
      <c r="BF14" s="279"/>
      <c r="BG14" s="279"/>
      <c r="BH14" s="279">
        <f>1-1</f>
        <v>0</v>
      </c>
      <c r="BI14" s="279">
        <v>1</v>
      </c>
      <c r="BJ14" s="279"/>
      <c r="BK14" s="285"/>
      <c r="BL14" s="308"/>
      <c r="BM14" s="279"/>
      <c r="BN14" s="283"/>
      <c r="BO14" s="468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</row>
    <row r="15" spans="1:92" s="87" customFormat="1" ht="39.950000000000003" customHeight="1" x14ac:dyDescent="0.15">
      <c r="A15" s="110" t="s">
        <v>63</v>
      </c>
      <c r="B15" s="116">
        <f t="shared" si="0"/>
        <v>116</v>
      </c>
      <c r="C15" s="165">
        <f t="shared" si="10"/>
        <v>116</v>
      </c>
      <c r="D15" s="111"/>
      <c r="E15" s="112"/>
      <c r="F15" s="113">
        <v>1</v>
      </c>
      <c r="G15" s="109"/>
      <c r="H15" s="114"/>
      <c r="I15" s="115"/>
      <c r="J15" s="115"/>
      <c r="K15" s="114"/>
      <c r="L15" s="109">
        <v>7</v>
      </c>
      <c r="M15" s="109"/>
      <c r="N15" s="109"/>
      <c r="O15" s="109"/>
      <c r="P15" s="115"/>
      <c r="Q15" s="111">
        <v>22</v>
      </c>
      <c r="R15" s="109"/>
      <c r="S15" s="109">
        <v>2</v>
      </c>
      <c r="T15" s="109"/>
      <c r="U15" s="365">
        <f>0+5-1</f>
        <v>4</v>
      </c>
      <c r="V15" s="109"/>
      <c r="W15" s="279"/>
      <c r="X15" s="279"/>
      <c r="Y15" s="279"/>
      <c r="Z15" s="279">
        <v>1</v>
      </c>
      <c r="AA15" s="286">
        <f>14+1</f>
        <v>15</v>
      </c>
      <c r="AB15" s="279">
        <v>1</v>
      </c>
      <c r="AC15" s="279"/>
      <c r="AD15" s="279">
        <v>1</v>
      </c>
      <c r="AE15" s="279"/>
      <c r="AF15" s="279">
        <v>1</v>
      </c>
      <c r="AG15" s="279"/>
      <c r="AH15" s="279"/>
      <c r="AI15" s="279"/>
      <c r="AJ15" s="279"/>
      <c r="AK15" s="279"/>
      <c r="AL15" s="279">
        <f>0+4+1</f>
        <v>5</v>
      </c>
      <c r="AM15" s="284"/>
      <c r="AN15" s="285"/>
      <c r="AO15" s="279">
        <f>24+2</f>
        <v>26</v>
      </c>
      <c r="AP15" s="279"/>
      <c r="AQ15" s="279"/>
      <c r="AR15" s="366">
        <f>0+1</f>
        <v>1</v>
      </c>
      <c r="AS15" s="279">
        <v>1</v>
      </c>
      <c r="AT15" s="279"/>
      <c r="AU15" s="279">
        <v>1</v>
      </c>
      <c r="AV15" s="285"/>
      <c r="AW15" s="279">
        <v>18</v>
      </c>
      <c r="AX15" s="279">
        <f>0+4+1</f>
        <v>5</v>
      </c>
      <c r="AY15" s="279"/>
      <c r="AZ15" s="279">
        <v>2</v>
      </c>
      <c r="BA15" s="279">
        <v>2</v>
      </c>
      <c r="BB15" s="285"/>
      <c r="BC15" s="286"/>
      <c r="BD15" s="285"/>
      <c r="BE15" s="286"/>
      <c r="BF15" s="279"/>
      <c r="BG15" s="279"/>
      <c r="BH15" s="279"/>
      <c r="BI15" s="279"/>
      <c r="BJ15" s="279"/>
      <c r="BK15" s="285"/>
      <c r="BL15" s="308"/>
      <c r="BM15" s="279"/>
      <c r="BN15" s="283"/>
      <c r="BO15" s="377"/>
      <c r="BP15" s="469"/>
      <c r="BQ15" s="469"/>
      <c r="BR15" s="469"/>
      <c r="BS15" s="469"/>
      <c r="BT15" s="469"/>
      <c r="BU15" s="469"/>
      <c r="BV15" s="469"/>
      <c r="BW15" s="469"/>
      <c r="BX15" s="469"/>
      <c r="BY15" s="469"/>
      <c r="BZ15" s="469"/>
      <c r="CA15" s="469"/>
    </row>
    <row r="16" spans="1:92" s="87" customFormat="1" ht="39.950000000000003" customHeight="1" x14ac:dyDescent="0.15">
      <c r="A16" s="172" t="s">
        <v>64</v>
      </c>
      <c r="B16" s="173">
        <f>C16</f>
        <v>144</v>
      </c>
      <c r="C16" s="174">
        <f t="shared" si="10"/>
        <v>144</v>
      </c>
      <c r="D16" s="175"/>
      <c r="E16" s="112">
        <f>1-1</f>
        <v>0</v>
      </c>
      <c r="F16" s="113">
        <f>0+1</f>
        <v>1</v>
      </c>
      <c r="G16" s="176"/>
      <c r="H16" s="177"/>
      <c r="I16" s="178"/>
      <c r="J16" s="178"/>
      <c r="K16" s="177"/>
      <c r="L16" s="176">
        <v>8</v>
      </c>
      <c r="M16" s="176"/>
      <c r="N16" s="176"/>
      <c r="O16" s="176"/>
      <c r="P16" s="178"/>
      <c r="Q16" s="175">
        <v>28</v>
      </c>
      <c r="R16" s="176"/>
      <c r="S16" s="176">
        <v>2</v>
      </c>
      <c r="T16" s="176"/>
      <c r="U16" s="365">
        <f>0+6-1</f>
        <v>5</v>
      </c>
      <c r="V16" s="176"/>
      <c r="W16" s="309"/>
      <c r="X16" s="309"/>
      <c r="Y16" s="309"/>
      <c r="Z16" s="309">
        <v>1</v>
      </c>
      <c r="AA16" s="310">
        <v>22</v>
      </c>
      <c r="AB16" s="309">
        <v>1</v>
      </c>
      <c r="AC16" s="309">
        <v>2</v>
      </c>
      <c r="AD16" s="309">
        <v>1</v>
      </c>
      <c r="AE16" s="309"/>
      <c r="AF16" s="309">
        <v>1</v>
      </c>
      <c r="AG16" s="309"/>
      <c r="AH16" s="309"/>
      <c r="AI16" s="309"/>
      <c r="AJ16" s="309"/>
      <c r="AK16" s="309"/>
      <c r="AL16" s="279">
        <f>0+5+1</f>
        <v>6</v>
      </c>
      <c r="AM16" s="311"/>
      <c r="AN16" s="312"/>
      <c r="AO16" s="279">
        <f>28+2</f>
        <v>30</v>
      </c>
      <c r="AP16" s="309"/>
      <c r="AQ16" s="309"/>
      <c r="AR16" s="367">
        <f>0+1</f>
        <v>1</v>
      </c>
      <c r="AS16" s="309">
        <v>1</v>
      </c>
      <c r="AT16" s="309">
        <v>2</v>
      </c>
      <c r="AU16" s="309">
        <v>1</v>
      </c>
      <c r="AV16" s="312"/>
      <c r="AW16" s="310">
        <v>21</v>
      </c>
      <c r="AX16" s="279">
        <f>0+5+1</f>
        <v>6</v>
      </c>
      <c r="AY16" s="309"/>
      <c r="AZ16" s="309">
        <v>1</v>
      </c>
      <c r="BA16" s="309">
        <v>3</v>
      </c>
      <c r="BB16" s="312"/>
      <c r="BC16" s="310"/>
      <c r="BD16" s="312"/>
      <c r="BE16" s="310">
        <v>0</v>
      </c>
      <c r="BF16" s="309"/>
      <c r="BG16" s="309"/>
      <c r="BH16" s="309"/>
      <c r="BI16" s="309"/>
      <c r="BJ16" s="309">
        <v>0</v>
      </c>
      <c r="BK16" s="312"/>
      <c r="BL16" s="313"/>
      <c r="BM16" s="288"/>
      <c r="BN16" s="293"/>
      <c r="BO16" s="468"/>
      <c r="BP16" s="470"/>
      <c r="BQ16" s="470"/>
      <c r="BR16" s="470"/>
      <c r="BS16" s="470"/>
      <c r="BT16" s="470"/>
      <c r="BU16" s="470"/>
      <c r="BV16" s="470"/>
      <c r="BW16" s="470"/>
      <c r="BX16" s="470"/>
      <c r="BY16" s="470"/>
      <c r="BZ16" s="470"/>
    </row>
    <row r="17" spans="1:66" ht="39.950000000000003" customHeight="1" x14ac:dyDescent="0.15">
      <c r="A17" s="218" t="s">
        <v>256</v>
      </c>
      <c r="B17" s="208">
        <f>C17</f>
        <v>24</v>
      </c>
      <c r="C17" s="192">
        <f>SUM(D17:BN17)</f>
        <v>24</v>
      </c>
      <c r="D17" s="187"/>
      <c r="E17" s="187"/>
      <c r="F17" s="191">
        <f>SUM(F18:F19)</f>
        <v>2</v>
      </c>
      <c r="G17" s="189"/>
      <c r="H17" s="190"/>
      <c r="I17" s="188"/>
      <c r="J17" s="189"/>
      <c r="K17" s="190"/>
      <c r="L17" s="191">
        <f>SUM(L18:L19)</f>
        <v>4</v>
      </c>
      <c r="M17" s="189"/>
      <c r="N17" s="189"/>
      <c r="O17" s="189"/>
      <c r="P17" s="190"/>
      <c r="Q17" s="191"/>
      <c r="R17" s="189"/>
      <c r="S17" s="189"/>
      <c r="T17" s="194">
        <f>SUM(T18:T19)</f>
        <v>6</v>
      </c>
      <c r="U17" s="189"/>
      <c r="V17" s="189"/>
      <c r="W17" s="314"/>
      <c r="X17" s="314"/>
      <c r="Y17" s="314"/>
      <c r="Z17" s="315"/>
      <c r="AA17" s="304">
        <f>SUM(AA18:AA19)</f>
        <v>4</v>
      </c>
      <c r="AB17" s="314"/>
      <c r="AC17" s="314"/>
      <c r="AD17" s="314"/>
      <c r="AE17" s="314"/>
      <c r="AF17" s="314"/>
      <c r="AG17" s="314"/>
      <c r="AH17" s="314"/>
      <c r="AI17" s="314"/>
      <c r="AJ17" s="314"/>
      <c r="AK17" s="314"/>
      <c r="AL17" s="314"/>
      <c r="AM17" s="314"/>
      <c r="AN17" s="316"/>
      <c r="AO17" s="304">
        <f>SUM(AO18:AO19)</f>
        <v>2</v>
      </c>
      <c r="AP17" s="314"/>
      <c r="AQ17" s="314"/>
      <c r="AR17" s="314"/>
      <c r="AS17" s="314"/>
      <c r="AT17" s="314"/>
      <c r="AU17" s="314"/>
      <c r="AV17" s="316"/>
      <c r="AW17" s="317"/>
      <c r="AX17" s="314"/>
      <c r="AY17" s="314"/>
      <c r="AZ17" s="314"/>
      <c r="BA17" s="314"/>
      <c r="BB17" s="316"/>
      <c r="BC17" s="318"/>
      <c r="BD17" s="319">
        <f>SUM(BD18:BD19)</f>
        <v>2</v>
      </c>
      <c r="BE17" s="317"/>
      <c r="BF17" s="314"/>
      <c r="BG17" s="314"/>
      <c r="BH17" s="314"/>
      <c r="BI17" s="314"/>
      <c r="BJ17" s="314"/>
      <c r="BK17" s="316"/>
      <c r="BL17" s="320"/>
      <c r="BM17" s="305">
        <f t="shared" ref="BM17:BN17" si="17">SUM(BM18:BM19)</f>
        <v>2</v>
      </c>
      <c r="BN17" s="333">
        <f t="shared" si="17"/>
        <v>2</v>
      </c>
    </row>
    <row r="18" spans="1:66" ht="39.950000000000003" customHeight="1" x14ac:dyDescent="0.15">
      <c r="A18" s="110" t="s">
        <v>253</v>
      </c>
      <c r="B18" s="116">
        <f t="shared" ref="B18:B19" si="18">C18</f>
        <v>12</v>
      </c>
      <c r="C18" s="174">
        <f>SUM(D18:BN18)</f>
        <v>12</v>
      </c>
      <c r="D18" s="183"/>
      <c r="E18" s="183"/>
      <c r="F18" s="109">
        <f>0+1</f>
        <v>1</v>
      </c>
      <c r="G18" s="109"/>
      <c r="H18" s="114"/>
      <c r="I18" s="181"/>
      <c r="J18" s="179"/>
      <c r="K18" s="185"/>
      <c r="L18" s="109">
        <f>0+2</f>
        <v>2</v>
      </c>
      <c r="M18" s="109"/>
      <c r="N18" s="109"/>
      <c r="O18" s="179"/>
      <c r="P18" s="185"/>
      <c r="Q18" s="109"/>
      <c r="R18" s="109"/>
      <c r="S18" s="109"/>
      <c r="T18" s="109">
        <f>0+3</f>
        <v>3</v>
      </c>
      <c r="U18" s="179"/>
      <c r="V18" s="179"/>
      <c r="W18" s="321"/>
      <c r="X18" s="279"/>
      <c r="Y18" s="279"/>
      <c r="Z18" s="284"/>
      <c r="AA18" s="286">
        <f>0+2</f>
        <v>2</v>
      </c>
      <c r="AB18" s="279"/>
      <c r="AC18" s="279"/>
      <c r="AD18" s="321"/>
      <c r="AE18" s="321"/>
      <c r="AF18" s="321"/>
      <c r="AG18" s="321"/>
      <c r="AH18" s="321"/>
      <c r="AI18" s="321"/>
      <c r="AJ18" s="321"/>
      <c r="AK18" s="321"/>
      <c r="AL18" s="321"/>
      <c r="AM18" s="321"/>
      <c r="AN18" s="322"/>
      <c r="AO18" s="279">
        <f>0+1</f>
        <v>1</v>
      </c>
      <c r="AP18" s="279"/>
      <c r="AQ18" s="279"/>
      <c r="AR18" s="321"/>
      <c r="AS18" s="321"/>
      <c r="AT18" s="321"/>
      <c r="AU18" s="321"/>
      <c r="AV18" s="322"/>
      <c r="AW18" s="323"/>
      <c r="AX18" s="321"/>
      <c r="AY18" s="321"/>
      <c r="AZ18" s="321"/>
      <c r="BA18" s="321"/>
      <c r="BB18" s="322"/>
      <c r="BC18" s="323"/>
      <c r="BD18" s="285">
        <f>0+1</f>
        <v>1</v>
      </c>
      <c r="BE18" s="323"/>
      <c r="BF18" s="321"/>
      <c r="BG18" s="321"/>
      <c r="BH18" s="321"/>
      <c r="BI18" s="321"/>
      <c r="BJ18" s="321"/>
      <c r="BK18" s="322"/>
      <c r="BL18" s="324"/>
      <c r="BM18" s="279">
        <f t="shared" ref="BM18:BN19" si="19">0+1</f>
        <v>1</v>
      </c>
      <c r="BN18" s="283">
        <f t="shared" si="19"/>
        <v>1</v>
      </c>
    </row>
    <row r="19" spans="1:66" ht="39.950000000000003" customHeight="1" thickBot="1" x14ac:dyDescent="0.2">
      <c r="A19" s="117" t="s">
        <v>254</v>
      </c>
      <c r="B19" s="334">
        <f t="shared" si="18"/>
        <v>12</v>
      </c>
      <c r="C19" s="335">
        <f>SUM(D19:BN19)</f>
        <v>12</v>
      </c>
      <c r="D19" s="184"/>
      <c r="E19" s="184"/>
      <c r="F19" s="336">
        <f>0+1</f>
        <v>1</v>
      </c>
      <c r="G19" s="336"/>
      <c r="H19" s="337"/>
      <c r="I19" s="182"/>
      <c r="J19" s="180"/>
      <c r="K19" s="186"/>
      <c r="L19" s="336">
        <f>0+2</f>
        <v>2</v>
      </c>
      <c r="M19" s="336"/>
      <c r="N19" s="336"/>
      <c r="O19" s="180"/>
      <c r="P19" s="186"/>
      <c r="Q19" s="336"/>
      <c r="R19" s="336"/>
      <c r="S19" s="336"/>
      <c r="T19" s="336">
        <f>0+3</f>
        <v>3</v>
      </c>
      <c r="U19" s="180"/>
      <c r="V19" s="180"/>
      <c r="W19" s="180"/>
      <c r="X19" s="336"/>
      <c r="Y19" s="336"/>
      <c r="Z19" s="338"/>
      <c r="AA19" s="118">
        <f>0+2</f>
        <v>2</v>
      </c>
      <c r="AB19" s="336"/>
      <c r="AC19" s="336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6"/>
      <c r="AO19" s="336">
        <f>0+1</f>
        <v>1</v>
      </c>
      <c r="AP19" s="336"/>
      <c r="AQ19" s="336"/>
      <c r="AR19" s="180"/>
      <c r="AS19" s="180"/>
      <c r="AT19" s="180"/>
      <c r="AU19" s="180"/>
      <c r="AV19" s="186"/>
      <c r="AW19" s="182"/>
      <c r="AX19" s="180"/>
      <c r="AY19" s="180"/>
      <c r="AZ19" s="180"/>
      <c r="BA19" s="180"/>
      <c r="BB19" s="186"/>
      <c r="BC19" s="182"/>
      <c r="BD19" s="337">
        <f>0+1</f>
        <v>1</v>
      </c>
      <c r="BE19" s="182"/>
      <c r="BF19" s="180"/>
      <c r="BG19" s="180"/>
      <c r="BH19" s="180"/>
      <c r="BI19" s="180"/>
      <c r="BJ19" s="180"/>
      <c r="BK19" s="186"/>
      <c r="BL19" s="184"/>
      <c r="BM19" s="336">
        <f t="shared" si="19"/>
        <v>1</v>
      </c>
      <c r="BN19" s="339">
        <f t="shared" si="19"/>
        <v>1</v>
      </c>
    </row>
    <row r="20" spans="1:66" ht="30" customHeight="1" x14ac:dyDescent="0.15"/>
    <row r="21" spans="1:66" ht="30" customHeight="1" x14ac:dyDescent="0.15"/>
    <row r="22" spans="1:66" ht="30" customHeight="1" x14ac:dyDescent="0.15"/>
    <row r="23" spans="1:66" ht="30" customHeight="1" x14ac:dyDescent="0.15"/>
    <row r="24" spans="1:66" ht="30" customHeight="1" x14ac:dyDescent="0.15"/>
    <row r="25" spans="1:66" ht="30" customHeight="1" x14ac:dyDescent="0.15"/>
    <row r="26" spans="1:66" ht="30" customHeight="1" x14ac:dyDescent="0.15"/>
    <row r="27" spans="1:66" ht="30" customHeight="1" x14ac:dyDescent="0.15"/>
  </sheetData>
  <mergeCells count="22">
    <mergeCell ref="BO16:BZ16"/>
    <mergeCell ref="AA5:AN5"/>
    <mergeCell ref="AO5:AV5"/>
    <mergeCell ref="AW5:BB5"/>
    <mergeCell ref="BC5:BD5"/>
    <mergeCell ref="BE5:BK5"/>
    <mergeCell ref="BM5:BN5"/>
    <mergeCell ref="BO10:BZ10"/>
    <mergeCell ref="BO12:CN12"/>
    <mergeCell ref="BO13:CK13"/>
    <mergeCell ref="BO14:CC14"/>
    <mergeCell ref="BO15:CA15"/>
    <mergeCell ref="A2:BL2"/>
    <mergeCell ref="A4:A6"/>
    <mergeCell ref="B4:B6"/>
    <mergeCell ref="C4:BL4"/>
    <mergeCell ref="BM4:BN4"/>
    <mergeCell ref="C5:C6"/>
    <mergeCell ref="F5:H5"/>
    <mergeCell ref="I5:K5"/>
    <mergeCell ref="L5:P5"/>
    <mergeCell ref="Q5:Z5"/>
  </mergeCells>
  <phoneticPr fontId="1" type="noConversion"/>
  <pageMargins left="0.15748031496062992" right="0.15748031496062992" top="0.5" bottom="0.19685039370078741" header="0.97" footer="0.51181102362204722"/>
  <pageSetup paperSize="9" scale="33" orientation="landscape" r:id="rId1"/>
  <headerFooter scaleWithDoc="0"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27"/>
  <sheetViews>
    <sheetView view="pageBreakPreview" zoomScale="55" zoomScaleNormal="70" zoomScaleSheetLayoutView="55" workbookViewId="0">
      <selection activeCell="X14" sqref="X14"/>
    </sheetView>
  </sheetViews>
  <sheetFormatPr defaultColWidth="4.77734375" defaultRowHeight="12" x14ac:dyDescent="0.15"/>
  <cols>
    <col min="1" max="1" width="26.21875" style="14" bestFit="1" customWidth="1"/>
    <col min="2" max="2" width="6.33203125" style="14" customWidth="1"/>
    <col min="3" max="3" width="7.5546875" style="14" bestFit="1" customWidth="1"/>
    <col min="4" max="4" width="5.5546875" style="14" bestFit="1" customWidth="1"/>
    <col min="5" max="5" width="6.5546875" style="14" bestFit="1" customWidth="1"/>
    <col min="6" max="7" width="4.33203125" style="14" bestFit="1" customWidth="1"/>
    <col min="8" max="8" width="5.33203125" style="14" bestFit="1" customWidth="1"/>
    <col min="9" max="11" width="7.33203125" style="14" bestFit="1" customWidth="1"/>
    <col min="12" max="13" width="5.5546875" style="14" bestFit="1" customWidth="1"/>
    <col min="14" max="14" width="4.33203125" style="14" bestFit="1" customWidth="1"/>
    <col min="15" max="15" width="5.33203125" style="14" bestFit="1" customWidth="1"/>
    <col min="16" max="16" width="7.33203125" style="14" bestFit="1" customWidth="1"/>
    <col min="17" max="17" width="6.77734375" style="14" bestFit="1" customWidth="1"/>
    <col min="18" max="18" width="5.33203125" style="14" bestFit="1" customWidth="1"/>
    <col min="19" max="19" width="5.5546875" style="14" bestFit="1" customWidth="1"/>
    <col min="20" max="20" width="5.33203125" style="14" bestFit="1" customWidth="1"/>
    <col min="21" max="21" width="5.5546875" style="14" bestFit="1" customWidth="1"/>
    <col min="22" max="22" width="4.33203125" style="14" bestFit="1" customWidth="1"/>
    <col min="23" max="23" width="5.5546875" style="14" bestFit="1" customWidth="1"/>
    <col min="24" max="26" width="4.33203125" style="14" bestFit="1" customWidth="1"/>
    <col min="27" max="27" width="6.77734375" style="14" bestFit="1" customWidth="1"/>
    <col min="28" max="30" width="4.33203125" style="20" bestFit="1" customWidth="1"/>
    <col min="31" max="33" width="4.33203125" style="14" bestFit="1" customWidth="1"/>
    <col min="34" max="34" width="5.5546875" style="14" bestFit="1" customWidth="1"/>
    <col min="35" max="37" width="5.33203125" style="14" bestFit="1" customWidth="1"/>
    <col min="38" max="38" width="5.5546875" style="14" bestFit="1" customWidth="1"/>
    <col min="39" max="39" width="4.33203125" style="14" bestFit="1" customWidth="1"/>
    <col min="40" max="40" width="5.5546875" style="14" bestFit="1" customWidth="1"/>
    <col min="41" max="41" width="6.77734375" style="14" bestFit="1" customWidth="1"/>
    <col min="42" max="43" width="5.33203125" style="14" bestFit="1" customWidth="1"/>
    <col min="44" max="44" width="5.5546875" style="14" bestFit="1" customWidth="1"/>
    <col min="45" max="46" width="4.33203125" style="14" bestFit="1" customWidth="1"/>
    <col min="47" max="47" width="5.5546875" style="14" bestFit="1" customWidth="1"/>
    <col min="48" max="48" width="4.33203125" style="14" bestFit="1" customWidth="1"/>
    <col min="49" max="49" width="6.77734375" style="14" bestFit="1" customWidth="1"/>
    <col min="50" max="50" width="5.5546875" style="14" bestFit="1" customWidth="1"/>
    <col min="51" max="51" width="4.33203125" style="14" bestFit="1" customWidth="1"/>
    <col min="52" max="53" width="5.5546875" style="14" bestFit="1" customWidth="1"/>
    <col min="54" max="55" width="4.33203125" style="14" bestFit="1" customWidth="1"/>
    <col min="56" max="56" width="5.5546875" style="14" bestFit="1" customWidth="1"/>
    <col min="57" max="57" width="4.33203125" style="14" bestFit="1" customWidth="1"/>
    <col min="58" max="58" width="4.5546875" style="14" bestFit="1" customWidth="1"/>
    <col min="59" max="59" width="5.5546875" style="14" bestFit="1" customWidth="1"/>
    <col min="60" max="61" width="4.5546875" style="14" bestFit="1" customWidth="1"/>
    <col min="62" max="63" width="4.33203125" style="14" bestFit="1" customWidth="1"/>
    <col min="64" max="64" width="7.21875" style="14" bestFit="1" customWidth="1"/>
    <col min="65" max="66" width="4.33203125" style="14" bestFit="1" customWidth="1"/>
    <col min="67" max="16384" width="4.77734375" style="14"/>
  </cols>
  <sheetData>
    <row r="1" spans="1:92" ht="16.5" customHeight="1" x14ac:dyDescent="0.2">
      <c r="A1" s="13" t="s">
        <v>30</v>
      </c>
    </row>
    <row r="2" spans="1:92" s="15" customFormat="1" ht="30" customHeight="1" x14ac:dyDescent="0.3">
      <c r="A2" s="480" t="s">
        <v>31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480"/>
      <c r="V2" s="480"/>
      <c r="W2" s="480"/>
      <c r="X2" s="480"/>
      <c r="Y2" s="480"/>
      <c r="Z2" s="480"/>
      <c r="AA2" s="480"/>
      <c r="AB2" s="480"/>
      <c r="AC2" s="480"/>
      <c r="AD2" s="480"/>
      <c r="AE2" s="480"/>
      <c r="AF2" s="480"/>
      <c r="AG2" s="480"/>
      <c r="AH2" s="480"/>
      <c r="AI2" s="480"/>
      <c r="AJ2" s="480"/>
      <c r="AK2" s="480"/>
      <c r="AL2" s="480"/>
      <c r="AM2" s="480"/>
      <c r="AN2" s="480"/>
      <c r="AO2" s="480"/>
      <c r="AP2" s="480"/>
      <c r="AQ2" s="480"/>
      <c r="AR2" s="480"/>
      <c r="AS2" s="480"/>
      <c r="AT2" s="480"/>
      <c r="AU2" s="480"/>
      <c r="AV2" s="480"/>
      <c r="AW2" s="480"/>
      <c r="AX2" s="480"/>
      <c r="AY2" s="480"/>
      <c r="AZ2" s="480"/>
      <c r="BA2" s="480"/>
      <c r="BB2" s="480"/>
      <c r="BC2" s="480"/>
      <c r="BD2" s="480"/>
      <c r="BE2" s="480"/>
      <c r="BF2" s="480"/>
      <c r="BG2" s="480"/>
      <c r="BH2" s="480"/>
      <c r="BI2" s="480"/>
      <c r="BJ2" s="480"/>
      <c r="BK2" s="480"/>
      <c r="BL2" s="480"/>
      <c r="BM2" s="275"/>
      <c r="BN2" s="275"/>
    </row>
    <row r="3" spans="1:92" ht="30" customHeight="1" thickBot="1" x14ac:dyDescent="0.2">
      <c r="A3" s="166" t="s">
        <v>263</v>
      </c>
    </row>
    <row r="4" spans="1:92" s="78" customFormat="1" ht="13.5" x14ac:dyDescent="0.15">
      <c r="A4" s="481" t="s">
        <v>98</v>
      </c>
      <c r="B4" s="484" t="s">
        <v>99</v>
      </c>
      <c r="C4" s="487" t="s">
        <v>100</v>
      </c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  <c r="R4" s="488"/>
      <c r="S4" s="488"/>
      <c r="T4" s="488"/>
      <c r="U4" s="488"/>
      <c r="V4" s="488"/>
      <c r="W4" s="488"/>
      <c r="X4" s="488"/>
      <c r="Y4" s="488"/>
      <c r="Z4" s="488"/>
      <c r="AA4" s="488"/>
      <c r="AB4" s="488"/>
      <c r="AC4" s="488"/>
      <c r="AD4" s="488"/>
      <c r="AE4" s="488"/>
      <c r="AF4" s="488"/>
      <c r="AG4" s="488"/>
      <c r="AH4" s="488"/>
      <c r="AI4" s="488"/>
      <c r="AJ4" s="488"/>
      <c r="AK4" s="488"/>
      <c r="AL4" s="488"/>
      <c r="AM4" s="488"/>
      <c r="AN4" s="488"/>
      <c r="AO4" s="488"/>
      <c r="AP4" s="488"/>
      <c r="AQ4" s="488"/>
      <c r="AR4" s="488"/>
      <c r="AS4" s="488"/>
      <c r="AT4" s="488"/>
      <c r="AU4" s="488"/>
      <c r="AV4" s="488"/>
      <c r="AW4" s="488"/>
      <c r="AX4" s="488"/>
      <c r="AY4" s="488"/>
      <c r="AZ4" s="488"/>
      <c r="BA4" s="488"/>
      <c r="BB4" s="488"/>
      <c r="BC4" s="488"/>
      <c r="BD4" s="488"/>
      <c r="BE4" s="488"/>
      <c r="BF4" s="488"/>
      <c r="BG4" s="488"/>
      <c r="BH4" s="488"/>
      <c r="BI4" s="488"/>
      <c r="BJ4" s="488"/>
      <c r="BK4" s="488"/>
      <c r="BL4" s="489"/>
      <c r="BM4" s="474"/>
      <c r="BN4" s="474"/>
    </row>
    <row r="5" spans="1:92" s="78" customFormat="1" ht="27" x14ac:dyDescent="0.15">
      <c r="A5" s="482"/>
      <c r="B5" s="485"/>
      <c r="C5" s="454" t="s">
        <v>101</v>
      </c>
      <c r="D5" s="274" t="s">
        <v>102</v>
      </c>
      <c r="E5" s="142" t="s">
        <v>103</v>
      </c>
      <c r="F5" s="456" t="s">
        <v>104</v>
      </c>
      <c r="G5" s="457"/>
      <c r="H5" s="458"/>
      <c r="I5" s="459" t="s">
        <v>105</v>
      </c>
      <c r="J5" s="459"/>
      <c r="K5" s="458"/>
      <c r="L5" s="457" t="s">
        <v>40</v>
      </c>
      <c r="M5" s="457"/>
      <c r="N5" s="457"/>
      <c r="O5" s="457"/>
      <c r="P5" s="459"/>
      <c r="Q5" s="491" t="s">
        <v>24</v>
      </c>
      <c r="R5" s="492"/>
      <c r="S5" s="492"/>
      <c r="T5" s="492"/>
      <c r="U5" s="492"/>
      <c r="V5" s="492"/>
      <c r="W5" s="492"/>
      <c r="X5" s="492"/>
      <c r="Y5" s="492"/>
      <c r="Z5" s="492"/>
      <c r="AA5" s="465" t="s">
        <v>106</v>
      </c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90"/>
      <c r="AN5" s="467"/>
      <c r="AO5" s="437" t="s">
        <v>25</v>
      </c>
      <c r="AP5" s="437"/>
      <c r="AQ5" s="437"/>
      <c r="AR5" s="437"/>
      <c r="AS5" s="437"/>
      <c r="AT5" s="437"/>
      <c r="AU5" s="437"/>
      <c r="AV5" s="438"/>
      <c r="AW5" s="436" t="s">
        <v>107</v>
      </c>
      <c r="AX5" s="437"/>
      <c r="AY5" s="437"/>
      <c r="AZ5" s="437"/>
      <c r="BA5" s="437"/>
      <c r="BB5" s="438"/>
      <c r="BC5" s="465" t="s">
        <v>41</v>
      </c>
      <c r="BD5" s="467"/>
      <c r="BE5" s="478" t="s">
        <v>65</v>
      </c>
      <c r="BF5" s="478"/>
      <c r="BG5" s="478"/>
      <c r="BH5" s="478"/>
      <c r="BI5" s="478"/>
      <c r="BJ5" s="478"/>
      <c r="BK5" s="479"/>
      <c r="BL5" s="193" t="s">
        <v>108</v>
      </c>
      <c r="BM5" s="471" t="s">
        <v>259</v>
      </c>
      <c r="BN5" s="494"/>
    </row>
    <row r="6" spans="1:92" s="78" customFormat="1" ht="272.25" thickBot="1" x14ac:dyDescent="0.2">
      <c r="A6" s="483"/>
      <c r="B6" s="486"/>
      <c r="C6" s="455"/>
      <c r="D6" s="146" t="s">
        <v>42</v>
      </c>
      <c r="E6" s="147" t="s">
        <v>151</v>
      </c>
      <c r="F6" s="148" t="s">
        <v>152</v>
      </c>
      <c r="G6" s="149" t="s">
        <v>153</v>
      </c>
      <c r="H6" s="150" t="s">
        <v>154</v>
      </c>
      <c r="I6" s="151" t="s">
        <v>155</v>
      </c>
      <c r="J6" s="151" t="s">
        <v>224</v>
      </c>
      <c r="K6" s="150" t="s">
        <v>156</v>
      </c>
      <c r="L6" s="149" t="s">
        <v>70</v>
      </c>
      <c r="M6" s="149" t="s">
        <v>71</v>
      </c>
      <c r="N6" s="149" t="s">
        <v>249</v>
      </c>
      <c r="O6" s="149" t="s">
        <v>43</v>
      </c>
      <c r="P6" s="151" t="s">
        <v>72</v>
      </c>
      <c r="Q6" s="146" t="s">
        <v>44</v>
      </c>
      <c r="R6" s="149" t="s">
        <v>73</v>
      </c>
      <c r="S6" s="149" t="s">
        <v>109</v>
      </c>
      <c r="T6" s="149" t="s">
        <v>261</v>
      </c>
      <c r="U6" s="149" t="s">
        <v>74</v>
      </c>
      <c r="V6" s="149" t="s">
        <v>75</v>
      </c>
      <c r="W6" s="149" t="s">
        <v>76</v>
      </c>
      <c r="X6" s="149" t="s">
        <v>77</v>
      </c>
      <c r="Y6" s="149" t="s">
        <v>66</v>
      </c>
      <c r="Z6" s="149" t="s">
        <v>78</v>
      </c>
      <c r="AA6" s="146" t="s">
        <v>79</v>
      </c>
      <c r="AB6" s="149" t="s">
        <v>45</v>
      </c>
      <c r="AC6" s="149" t="s">
        <v>80</v>
      </c>
      <c r="AD6" s="149" t="s">
        <v>81</v>
      </c>
      <c r="AE6" s="149" t="s">
        <v>82</v>
      </c>
      <c r="AF6" s="149" t="s">
        <v>83</v>
      </c>
      <c r="AG6" s="149" t="s">
        <v>110</v>
      </c>
      <c r="AH6" s="149" t="s">
        <v>84</v>
      </c>
      <c r="AI6" s="149" t="s">
        <v>85</v>
      </c>
      <c r="AJ6" s="149" t="s">
        <v>86</v>
      </c>
      <c r="AK6" s="149" t="s">
        <v>87</v>
      </c>
      <c r="AL6" s="149" t="s">
        <v>88</v>
      </c>
      <c r="AM6" s="151" t="s">
        <v>46</v>
      </c>
      <c r="AN6" s="150" t="s">
        <v>89</v>
      </c>
      <c r="AO6" s="149" t="s">
        <v>90</v>
      </c>
      <c r="AP6" s="149" t="s">
        <v>91</v>
      </c>
      <c r="AQ6" s="149" t="s">
        <v>47</v>
      </c>
      <c r="AR6" s="149" t="s">
        <v>48</v>
      </c>
      <c r="AS6" s="149" t="s">
        <v>111</v>
      </c>
      <c r="AT6" s="149" t="s">
        <v>92</v>
      </c>
      <c r="AU6" s="149" t="s">
        <v>93</v>
      </c>
      <c r="AV6" s="150" t="s">
        <v>49</v>
      </c>
      <c r="AW6" s="146" t="s">
        <v>94</v>
      </c>
      <c r="AX6" s="149" t="s">
        <v>50</v>
      </c>
      <c r="AY6" s="149" t="s">
        <v>112</v>
      </c>
      <c r="AZ6" s="149" t="s">
        <v>113</v>
      </c>
      <c r="BA6" s="149" t="s">
        <v>114</v>
      </c>
      <c r="BB6" s="150" t="s">
        <v>115</v>
      </c>
      <c r="BC6" s="146" t="s">
        <v>116</v>
      </c>
      <c r="BD6" s="150" t="s">
        <v>117</v>
      </c>
      <c r="BE6" s="148" t="s">
        <v>95</v>
      </c>
      <c r="BF6" s="152" t="s">
        <v>51</v>
      </c>
      <c r="BG6" s="152" t="s">
        <v>52</v>
      </c>
      <c r="BH6" s="152" t="s">
        <v>53</v>
      </c>
      <c r="BI6" s="152" t="s">
        <v>96</v>
      </c>
      <c r="BJ6" s="149" t="s">
        <v>54</v>
      </c>
      <c r="BK6" s="150" t="s">
        <v>19</v>
      </c>
      <c r="BL6" s="147" t="s">
        <v>55</v>
      </c>
      <c r="BM6" s="149" t="s">
        <v>257</v>
      </c>
      <c r="BN6" s="151" t="s">
        <v>258</v>
      </c>
    </row>
    <row r="7" spans="1:92" s="87" customFormat="1" ht="39.950000000000003" customHeight="1" thickTop="1" thickBot="1" x14ac:dyDescent="0.2">
      <c r="A7" s="80" t="s">
        <v>56</v>
      </c>
      <c r="B7" s="143">
        <f t="shared" ref="B7:B15" si="0">C7</f>
        <v>1166</v>
      </c>
      <c r="C7" s="144">
        <f>SUM(D7:BN7)</f>
        <v>1166</v>
      </c>
      <c r="D7" s="81">
        <f>D8+D9+D10+D11+D17</f>
        <v>4</v>
      </c>
      <c r="E7" s="82">
        <f>E8+E9+E10+E11+E17</f>
        <v>1</v>
      </c>
      <c r="F7" s="83">
        <f>F8+F9+F10+F11+F17</f>
        <v>9</v>
      </c>
      <c r="G7" s="83">
        <f t="shared" ref="G7:H7" si="1">G8+G9+G10+G11+G17</f>
        <v>1</v>
      </c>
      <c r="H7" s="85">
        <f t="shared" si="1"/>
        <v>1</v>
      </c>
      <c r="I7" s="83">
        <f>I8+I9+I10+I11+I17</f>
        <v>5</v>
      </c>
      <c r="J7" s="83">
        <f t="shared" ref="J7:K7" si="2">J8+J9+J10+J11+J17</f>
        <v>2</v>
      </c>
      <c r="K7" s="85">
        <f t="shared" si="2"/>
        <v>2</v>
      </c>
      <c r="L7" s="83">
        <f>L8+L9+L10+L11+L17</f>
        <v>45</v>
      </c>
      <c r="M7" s="84">
        <f t="shared" ref="M7:P7" si="3">M8+M9+M10+M11+M17</f>
        <v>13</v>
      </c>
      <c r="N7" s="84">
        <f t="shared" si="3"/>
        <v>1</v>
      </c>
      <c r="O7" s="84">
        <f t="shared" si="3"/>
        <v>2</v>
      </c>
      <c r="P7" s="84">
        <f t="shared" si="3"/>
        <v>1</v>
      </c>
      <c r="Q7" s="81">
        <f>Q8+Q9+Q10+Q11+Q17</f>
        <v>168</v>
      </c>
      <c r="R7" s="84">
        <f>R8+R9+R10+R11+R17</f>
        <v>3</v>
      </c>
      <c r="S7" s="84">
        <f t="shared" ref="S7:Z7" si="4">S8+S9+S10+S11+S17</f>
        <v>11</v>
      </c>
      <c r="T7" s="84">
        <f t="shared" si="4"/>
        <v>6</v>
      </c>
      <c r="U7" s="84">
        <f t="shared" si="4"/>
        <v>36</v>
      </c>
      <c r="V7" s="84">
        <f t="shared" si="4"/>
        <v>1</v>
      </c>
      <c r="W7" s="84">
        <f t="shared" si="4"/>
        <v>12</v>
      </c>
      <c r="X7" s="84">
        <f t="shared" si="4"/>
        <v>3</v>
      </c>
      <c r="Y7" s="84">
        <f t="shared" si="4"/>
        <v>1</v>
      </c>
      <c r="Z7" s="84">
        <f t="shared" si="4"/>
        <v>6</v>
      </c>
      <c r="AA7" s="81">
        <f>AA8+AA9+AA10+AA11+AA17</f>
        <v>138</v>
      </c>
      <c r="AB7" s="83">
        <f t="shared" ref="AB7:AN7" si="5">AB8+AB9+AB10+AB11+AB17</f>
        <v>6</v>
      </c>
      <c r="AC7" s="83">
        <f t="shared" si="5"/>
        <v>2</v>
      </c>
      <c r="AD7" s="83">
        <f t="shared" si="5"/>
        <v>6</v>
      </c>
      <c r="AE7" s="83">
        <f t="shared" si="5"/>
        <v>1</v>
      </c>
      <c r="AF7" s="83">
        <f t="shared" si="5"/>
        <v>8</v>
      </c>
      <c r="AG7" s="83">
        <f t="shared" si="5"/>
        <v>1</v>
      </c>
      <c r="AH7" s="83">
        <f t="shared" si="5"/>
        <v>10</v>
      </c>
      <c r="AI7" s="83">
        <f t="shared" si="5"/>
        <v>1</v>
      </c>
      <c r="AJ7" s="83">
        <f t="shared" si="5"/>
        <v>3</v>
      </c>
      <c r="AK7" s="83">
        <f t="shared" si="5"/>
        <v>1</v>
      </c>
      <c r="AL7" s="83">
        <f t="shared" si="5"/>
        <v>49</v>
      </c>
      <c r="AM7" s="83">
        <f t="shared" si="5"/>
        <v>3</v>
      </c>
      <c r="AN7" s="85">
        <f t="shared" si="5"/>
        <v>12</v>
      </c>
      <c r="AO7" s="83">
        <f>AO8+AO9+AO10+AO11+AO17</f>
        <v>205</v>
      </c>
      <c r="AP7" s="83">
        <f t="shared" ref="AP7:AV7" si="6">AP8+AP9+AP10+AP11+AP17</f>
        <v>2</v>
      </c>
      <c r="AQ7" s="83">
        <f t="shared" si="6"/>
        <v>1</v>
      </c>
      <c r="AR7" s="83">
        <f t="shared" si="6"/>
        <v>46</v>
      </c>
      <c r="AS7" s="83">
        <f t="shared" si="6"/>
        <v>6</v>
      </c>
      <c r="AT7" s="83">
        <f t="shared" si="6"/>
        <v>2</v>
      </c>
      <c r="AU7" s="83">
        <f t="shared" si="6"/>
        <v>13</v>
      </c>
      <c r="AV7" s="85">
        <f t="shared" si="6"/>
        <v>4</v>
      </c>
      <c r="AW7" s="81">
        <f>AW8+AW9+AW10+AW11+AW17</f>
        <v>148</v>
      </c>
      <c r="AX7" s="84">
        <f>AX8+AX9+AX10+AX11+AX17</f>
        <v>54</v>
      </c>
      <c r="AY7" s="84">
        <f t="shared" ref="AY7:BB7" si="7">AY8+AY9+AY10+AY11+AY17</f>
        <v>2</v>
      </c>
      <c r="AZ7" s="84">
        <f t="shared" si="7"/>
        <v>18</v>
      </c>
      <c r="BA7" s="84">
        <f t="shared" si="7"/>
        <v>39</v>
      </c>
      <c r="BB7" s="84">
        <f t="shared" si="7"/>
        <v>1</v>
      </c>
      <c r="BC7" s="81">
        <f>BC8+BC9+BC10+BC11+BC17</f>
        <v>3</v>
      </c>
      <c r="BD7" s="85">
        <f>BD8+BD9+BD10+BD11+BD17</f>
        <v>14</v>
      </c>
      <c r="BE7" s="83">
        <f>BE8+BE9+BE10+BE11+BE17</f>
        <v>1</v>
      </c>
      <c r="BF7" s="83">
        <f t="shared" ref="BF7:BK7" si="8">BF8+BF9+BF10+BF11+BF17</f>
        <v>3</v>
      </c>
      <c r="BG7" s="83">
        <f t="shared" si="8"/>
        <v>11</v>
      </c>
      <c r="BH7" s="83">
        <f t="shared" si="8"/>
        <v>2</v>
      </c>
      <c r="BI7" s="83">
        <f t="shared" si="8"/>
        <v>1</v>
      </c>
      <c r="BJ7" s="83">
        <f t="shared" si="8"/>
        <v>4</v>
      </c>
      <c r="BK7" s="85">
        <f t="shared" si="8"/>
        <v>4</v>
      </c>
      <c r="BL7" s="82">
        <f>BL8+BL9+BL10+BL11+BL17</f>
        <v>3</v>
      </c>
      <c r="BM7" s="82">
        <f t="shared" ref="BM7:BN7" si="9">BM8+BM9+BM10+BM11+BM17</f>
        <v>2</v>
      </c>
      <c r="BN7" s="82">
        <f t="shared" si="9"/>
        <v>2</v>
      </c>
    </row>
    <row r="8" spans="1:92" s="87" customFormat="1" ht="39.950000000000003" customHeight="1" thickTop="1" x14ac:dyDescent="0.15">
      <c r="A8" s="88" t="s">
        <v>57</v>
      </c>
      <c r="B8" s="89">
        <f t="shared" si="0"/>
        <v>30</v>
      </c>
      <c r="C8" s="162">
        <f t="shared" ref="C8:C16" si="10">SUM(D8:BL8)</f>
        <v>30</v>
      </c>
      <c r="D8" s="90"/>
      <c r="E8" s="91">
        <v>1</v>
      </c>
      <c r="F8" s="92">
        <v>1</v>
      </c>
      <c r="G8" s="93"/>
      <c r="H8" s="94"/>
      <c r="I8" s="95">
        <f>1+1</f>
        <v>2</v>
      </c>
      <c r="J8" s="95"/>
      <c r="K8" s="94"/>
      <c r="L8" s="93">
        <v>5</v>
      </c>
      <c r="M8" s="93"/>
      <c r="N8" s="93"/>
      <c r="O8" s="93">
        <v>1</v>
      </c>
      <c r="P8" s="95">
        <v>1</v>
      </c>
      <c r="Q8" s="90">
        <v>5</v>
      </c>
      <c r="R8" s="93"/>
      <c r="S8" s="93"/>
      <c r="T8" s="93"/>
      <c r="U8" s="93"/>
      <c r="V8" s="93"/>
      <c r="W8" s="93"/>
      <c r="X8" s="93"/>
      <c r="Y8" s="93"/>
      <c r="Z8" s="93"/>
      <c r="AA8" s="90">
        <v>1</v>
      </c>
      <c r="AB8" s="93"/>
      <c r="AC8" s="93"/>
      <c r="AD8" s="93"/>
      <c r="AE8" s="93"/>
      <c r="AF8" s="93"/>
      <c r="AG8" s="93"/>
      <c r="AH8" s="93"/>
      <c r="AI8" s="93"/>
      <c r="AJ8" s="93"/>
      <c r="AK8" s="93">
        <v>1</v>
      </c>
      <c r="AL8" s="93"/>
      <c r="AM8" s="95"/>
      <c r="AN8" s="94"/>
      <c r="AO8" s="93">
        <v>1</v>
      </c>
      <c r="AP8" s="93"/>
      <c r="AQ8" s="93"/>
      <c r="AR8" s="93"/>
      <c r="AS8" s="93"/>
      <c r="AT8" s="93"/>
      <c r="AU8" s="93"/>
      <c r="AV8" s="94"/>
      <c r="AW8" s="90">
        <v>4</v>
      </c>
      <c r="AX8" s="93"/>
      <c r="AY8" s="93">
        <v>1</v>
      </c>
      <c r="AZ8" s="93"/>
      <c r="BA8" s="93">
        <v>2</v>
      </c>
      <c r="BB8" s="94">
        <v>1</v>
      </c>
      <c r="BC8" s="90"/>
      <c r="BD8" s="94"/>
      <c r="BE8" s="92"/>
      <c r="BF8" s="93"/>
      <c r="BG8" s="93"/>
      <c r="BH8" s="93"/>
      <c r="BI8" s="93"/>
      <c r="BJ8" s="93"/>
      <c r="BK8" s="94"/>
      <c r="BL8" s="91">
        <v>3</v>
      </c>
      <c r="BM8" s="195"/>
      <c r="BN8" s="196"/>
    </row>
    <row r="9" spans="1:92" s="87" customFormat="1" ht="39.950000000000003" customHeight="1" x14ac:dyDescent="0.15">
      <c r="A9" s="96" t="s">
        <v>58</v>
      </c>
      <c r="B9" s="127">
        <f t="shared" si="0"/>
        <v>236</v>
      </c>
      <c r="C9" s="163">
        <f t="shared" si="10"/>
        <v>236</v>
      </c>
      <c r="D9" s="97">
        <v>1</v>
      </c>
      <c r="E9" s="98"/>
      <c r="F9" s="99"/>
      <c r="G9" s="79">
        <v>1</v>
      </c>
      <c r="H9" s="100"/>
      <c r="I9" s="101"/>
      <c r="J9" s="101">
        <v>2</v>
      </c>
      <c r="K9" s="100"/>
      <c r="L9" s="79"/>
      <c r="M9" s="79">
        <v>13</v>
      </c>
      <c r="N9" s="79">
        <v>1</v>
      </c>
      <c r="O9" s="79"/>
      <c r="P9" s="101"/>
      <c r="Q9" s="97">
        <v>6</v>
      </c>
      <c r="R9" s="79">
        <v>3</v>
      </c>
      <c r="S9" s="79"/>
      <c r="T9" s="79"/>
      <c r="U9" s="364">
        <f>5-1-4+1+3</f>
        <v>4</v>
      </c>
      <c r="V9" s="79">
        <v>1</v>
      </c>
      <c r="W9" s="294">
        <v>12</v>
      </c>
      <c r="X9" s="294">
        <v>3</v>
      </c>
      <c r="Y9" s="294">
        <v>1</v>
      </c>
      <c r="Z9" s="294">
        <v>1</v>
      </c>
      <c r="AA9" s="295">
        <v>10</v>
      </c>
      <c r="AB9" s="294">
        <v>1</v>
      </c>
      <c r="AC9" s="294"/>
      <c r="AD9" s="294">
        <v>1</v>
      </c>
      <c r="AE9" s="294">
        <v>1</v>
      </c>
      <c r="AF9" s="294">
        <v>3</v>
      </c>
      <c r="AG9" s="294">
        <v>1</v>
      </c>
      <c r="AH9" s="294"/>
      <c r="AI9" s="294"/>
      <c r="AJ9" s="294"/>
      <c r="AK9" s="294"/>
      <c r="AL9" s="364">
        <f>28-26+1+14</f>
        <v>17</v>
      </c>
      <c r="AM9" s="296">
        <v>3</v>
      </c>
      <c r="AN9" s="297">
        <v>12</v>
      </c>
      <c r="AO9" s="294">
        <v>7</v>
      </c>
      <c r="AP9" s="294"/>
      <c r="AQ9" s="294">
        <v>1</v>
      </c>
      <c r="AR9" s="369">
        <f>34+30-2-17+1</f>
        <v>46</v>
      </c>
      <c r="AS9" s="294"/>
      <c r="AT9" s="294"/>
      <c r="AU9" s="294">
        <v>7</v>
      </c>
      <c r="AV9" s="297">
        <v>4</v>
      </c>
      <c r="AW9" s="295">
        <v>1</v>
      </c>
      <c r="AX9" s="294">
        <v>22</v>
      </c>
      <c r="AY9" s="294"/>
      <c r="AZ9" s="294">
        <f>10+2+1</f>
        <v>13</v>
      </c>
      <c r="BA9" s="294">
        <v>20</v>
      </c>
      <c r="BB9" s="297"/>
      <c r="BC9" s="295"/>
      <c r="BD9" s="297"/>
      <c r="BE9" s="295"/>
      <c r="BF9" s="345">
        <f>4-1</f>
        <v>3</v>
      </c>
      <c r="BG9" s="294">
        <v>11</v>
      </c>
      <c r="BH9" s="294">
        <f>2-1+1</f>
        <v>2</v>
      </c>
      <c r="BI9" s="294"/>
      <c r="BJ9" s="294"/>
      <c r="BK9" s="297">
        <v>1</v>
      </c>
      <c r="BL9" s="298"/>
      <c r="BM9" s="299"/>
      <c r="BN9" s="300"/>
      <c r="BO9" s="328" t="s">
        <v>266</v>
      </c>
    </row>
    <row r="10" spans="1:92" s="87" customFormat="1" ht="39.950000000000003" customHeight="1" x14ac:dyDescent="0.15">
      <c r="A10" s="88" t="s">
        <v>222</v>
      </c>
      <c r="B10" s="145">
        <f t="shared" si="0"/>
        <v>34</v>
      </c>
      <c r="C10" s="162">
        <f t="shared" si="10"/>
        <v>34</v>
      </c>
      <c r="D10" s="90"/>
      <c r="E10" s="91"/>
      <c r="F10" s="92"/>
      <c r="G10" s="93"/>
      <c r="H10" s="94">
        <v>1</v>
      </c>
      <c r="I10" s="95"/>
      <c r="J10" s="95"/>
      <c r="K10" s="94">
        <v>2</v>
      </c>
      <c r="L10" s="93">
        <f>0+1</f>
        <v>1</v>
      </c>
      <c r="M10" s="93"/>
      <c r="N10" s="93"/>
      <c r="O10" s="93">
        <v>1</v>
      </c>
      <c r="P10" s="95"/>
      <c r="Q10" s="90">
        <f>3-1</f>
        <v>2</v>
      </c>
      <c r="R10" s="93"/>
      <c r="S10" s="93"/>
      <c r="T10" s="93"/>
      <c r="U10" s="93"/>
      <c r="V10" s="93"/>
      <c r="W10" s="299"/>
      <c r="X10" s="299"/>
      <c r="Y10" s="299"/>
      <c r="Z10" s="299"/>
      <c r="AA10" s="301">
        <v>5</v>
      </c>
      <c r="AB10" s="299"/>
      <c r="AC10" s="299"/>
      <c r="AD10" s="299"/>
      <c r="AE10" s="299"/>
      <c r="AF10" s="299"/>
      <c r="AG10" s="299"/>
      <c r="AH10" s="299"/>
      <c r="AI10" s="299"/>
      <c r="AJ10" s="299"/>
      <c r="AK10" s="299"/>
      <c r="AL10" s="299"/>
      <c r="AM10" s="300"/>
      <c r="AN10" s="302"/>
      <c r="AO10" s="301">
        <f>3-1</f>
        <v>2</v>
      </c>
      <c r="AP10" s="299"/>
      <c r="AQ10" s="299"/>
      <c r="AR10" s="299"/>
      <c r="AS10" s="299"/>
      <c r="AT10" s="299"/>
      <c r="AU10" s="299"/>
      <c r="AV10" s="302"/>
      <c r="AW10" s="301">
        <v>3</v>
      </c>
      <c r="AX10" s="299"/>
      <c r="AY10" s="299"/>
      <c r="AZ10" s="299"/>
      <c r="BA10" s="299">
        <v>1</v>
      </c>
      <c r="BB10" s="302"/>
      <c r="BC10" s="301">
        <v>3</v>
      </c>
      <c r="BD10" s="302">
        <v>12</v>
      </c>
      <c r="BE10" s="301"/>
      <c r="BF10" s="299"/>
      <c r="BG10" s="299"/>
      <c r="BH10" s="299"/>
      <c r="BI10" s="299"/>
      <c r="BJ10" s="299">
        <v>1</v>
      </c>
      <c r="BK10" s="302"/>
      <c r="BL10" s="303"/>
      <c r="BM10" s="299"/>
      <c r="BN10" s="300"/>
      <c r="BO10" s="495"/>
      <c r="BP10" s="477"/>
      <c r="BQ10" s="477"/>
      <c r="BR10" s="477"/>
      <c r="BS10" s="477"/>
      <c r="BT10" s="477"/>
      <c r="BU10" s="477"/>
      <c r="BV10" s="477"/>
      <c r="BW10" s="477"/>
      <c r="BX10" s="477"/>
      <c r="BY10" s="477"/>
      <c r="BZ10" s="477"/>
    </row>
    <row r="11" spans="1:92" s="87" customFormat="1" ht="39.950000000000003" customHeight="1" x14ac:dyDescent="0.15">
      <c r="A11" s="102" t="s">
        <v>59</v>
      </c>
      <c r="B11" s="128">
        <f t="shared" si="0"/>
        <v>842</v>
      </c>
      <c r="C11" s="164">
        <f t="shared" si="10"/>
        <v>842</v>
      </c>
      <c r="D11" s="103">
        <f>SUM(D12:D16)</f>
        <v>3</v>
      </c>
      <c r="E11" s="104">
        <f t="shared" ref="E11" si="11">SUM(E12:E16)</f>
        <v>0</v>
      </c>
      <c r="F11" s="105">
        <f>SUM(F12:F16)</f>
        <v>6</v>
      </c>
      <c r="G11" s="106"/>
      <c r="H11" s="107"/>
      <c r="I11" s="106">
        <f>SUM(I12:I16)</f>
        <v>3</v>
      </c>
      <c r="J11" s="108"/>
      <c r="K11" s="107"/>
      <c r="L11" s="106">
        <f>SUM(L12:L16)</f>
        <v>35</v>
      </c>
      <c r="M11" s="106"/>
      <c r="N11" s="106"/>
      <c r="O11" s="106"/>
      <c r="P11" s="108"/>
      <c r="Q11" s="103">
        <f>SUM(Q12:Q16)</f>
        <v>155</v>
      </c>
      <c r="R11" s="106"/>
      <c r="S11" s="106">
        <f>SUM(S12:S16)</f>
        <v>11</v>
      </c>
      <c r="T11" s="106"/>
      <c r="U11" s="368">
        <f>SUM(U12:U16)</f>
        <v>32</v>
      </c>
      <c r="V11" s="106"/>
      <c r="W11" s="276"/>
      <c r="X11" s="276"/>
      <c r="Y11" s="276"/>
      <c r="Z11" s="276">
        <v>5</v>
      </c>
      <c r="AA11" s="280">
        <f>SUM(AA12:AA16)</f>
        <v>118</v>
      </c>
      <c r="AB11" s="276">
        <f t="shared" ref="AB11:AD11" si="12">SUM(AB12:AB16)</f>
        <v>5</v>
      </c>
      <c r="AC11" s="276">
        <f t="shared" si="12"/>
        <v>2</v>
      </c>
      <c r="AD11" s="276">
        <f t="shared" si="12"/>
        <v>5</v>
      </c>
      <c r="AE11" s="276"/>
      <c r="AF11" s="276">
        <f>SUM(AF12:AF16)</f>
        <v>5</v>
      </c>
      <c r="AG11" s="276"/>
      <c r="AH11" s="276">
        <f>SUM(AH12:AH16)</f>
        <v>10</v>
      </c>
      <c r="AI11" s="276">
        <f>SUM(AI12:AI16)</f>
        <v>1</v>
      </c>
      <c r="AJ11" s="276">
        <f>SUM(AJ12:AJ16)</f>
        <v>3</v>
      </c>
      <c r="AK11" s="276"/>
      <c r="AL11" s="276">
        <f>SUM(AL12:AL16)</f>
        <v>32</v>
      </c>
      <c r="AM11" s="277"/>
      <c r="AN11" s="278"/>
      <c r="AO11" s="276">
        <f>SUM(AO12:AO16)</f>
        <v>193</v>
      </c>
      <c r="AP11" s="279">
        <f t="shared" ref="AP11" si="13">SUM(AP12:AP16)</f>
        <v>2</v>
      </c>
      <c r="AQ11" s="279"/>
      <c r="AR11" s="370">
        <f t="shared" ref="AR11" si="14">SUM(AR12:AR16)</f>
        <v>0</v>
      </c>
      <c r="AS11" s="279">
        <f>SUM(AS12:AS16)</f>
        <v>6</v>
      </c>
      <c r="AT11" s="276">
        <f>SUM(AT12:AT16)</f>
        <v>2</v>
      </c>
      <c r="AU11" s="279">
        <f t="shared" ref="AU11" si="15">SUM(AU12:AU16)</f>
        <v>6</v>
      </c>
      <c r="AV11" s="278"/>
      <c r="AW11" s="304">
        <f>SUM(AW12:AW16)</f>
        <v>140</v>
      </c>
      <c r="AX11" s="305">
        <f>SUM(AX12:AX16)</f>
        <v>32</v>
      </c>
      <c r="AY11" s="276">
        <f>SUM(AY12:AY16)</f>
        <v>1</v>
      </c>
      <c r="AZ11" s="279">
        <f>SUM(AZ12:AZ16)</f>
        <v>5</v>
      </c>
      <c r="BA11" s="279">
        <f t="shared" ref="BA11" si="16">SUM(BA12:BA16)</f>
        <v>16</v>
      </c>
      <c r="BB11" s="278"/>
      <c r="BC11" s="280"/>
      <c r="BD11" s="278"/>
      <c r="BE11" s="281">
        <f>SUM(BE12:BE16)</f>
        <v>1</v>
      </c>
      <c r="BF11" s="276"/>
      <c r="BG11" s="276"/>
      <c r="BH11" s="279">
        <f t="shared" ref="BH11:BK11" si="17">SUM(BH12:BH16)</f>
        <v>0</v>
      </c>
      <c r="BI11" s="276">
        <f t="shared" si="17"/>
        <v>1</v>
      </c>
      <c r="BJ11" s="279">
        <f t="shared" si="17"/>
        <v>3</v>
      </c>
      <c r="BK11" s="278">
        <f t="shared" si="17"/>
        <v>3</v>
      </c>
      <c r="BL11" s="306"/>
      <c r="BM11" s="305"/>
      <c r="BN11" s="307"/>
    </row>
    <row r="12" spans="1:92" s="87" customFormat="1" ht="39.950000000000003" customHeight="1" x14ac:dyDescent="0.15">
      <c r="A12" s="110" t="s">
        <v>60</v>
      </c>
      <c r="B12" s="116">
        <f t="shared" si="0"/>
        <v>213</v>
      </c>
      <c r="C12" s="165">
        <f t="shared" si="10"/>
        <v>213</v>
      </c>
      <c r="D12" s="111">
        <v>1</v>
      </c>
      <c r="E12" s="112"/>
      <c r="F12" s="113">
        <v>2</v>
      </c>
      <c r="G12" s="109"/>
      <c r="H12" s="114"/>
      <c r="I12" s="115">
        <v>1</v>
      </c>
      <c r="J12" s="115"/>
      <c r="K12" s="114"/>
      <c r="L12" s="109">
        <v>6</v>
      </c>
      <c r="M12" s="109"/>
      <c r="N12" s="109"/>
      <c r="O12" s="109"/>
      <c r="P12" s="115"/>
      <c r="Q12" s="111">
        <v>36</v>
      </c>
      <c r="R12" s="109"/>
      <c r="S12" s="109">
        <v>3</v>
      </c>
      <c r="T12" s="109"/>
      <c r="U12" s="109">
        <f>0+7</f>
        <v>7</v>
      </c>
      <c r="V12" s="109"/>
      <c r="W12" s="279"/>
      <c r="X12" s="279"/>
      <c r="Y12" s="279"/>
      <c r="Z12" s="279">
        <v>1</v>
      </c>
      <c r="AA12" s="286">
        <v>30</v>
      </c>
      <c r="AB12" s="279">
        <v>1</v>
      </c>
      <c r="AC12" s="279"/>
      <c r="AD12" s="279">
        <v>1</v>
      </c>
      <c r="AE12" s="279"/>
      <c r="AF12" s="279">
        <v>1</v>
      </c>
      <c r="AG12" s="279"/>
      <c r="AH12" s="279">
        <v>4</v>
      </c>
      <c r="AI12" s="279">
        <v>1</v>
      </c>
      <c r="AJ12" s="279">
        <v>1</v>
      </c>
      <c r="AK12" s="279"/>
      <c r="AL12" s="279">
        <f>0+6+1</f>
        <v>7</v>
      </c>
      <c r="AM12" s="284"/>
      <c r="AN12" s="285"/>
      <c r="AO12" s="279">
        <f>49+2</f>
        <v>51</v>
      </c>
      <c r="AP12" s="279">
        <f>1+1</f>
        <v>2</v>
      </c>
      <c r="AQ12" s="279"/>
      <c r="AR12" s="279"/>
      <c r="AS12" s="279"/>
      <c r="AT12" s="279"/>
      <c r="AU12" s="279">
        <v>0</v>
      </c>
      <c r="AV12" s="285"/>
      <c r="AW12" s="276">
        <v>41</v>
      </c>
      <c r="AX12" s="279">
        <f>0+6+1</f>
        <v>7</v>
      </c>
      <c r="AY12" s="279">
        <v>1</v>
      </c>
      <c r="AZ12" s="279">
        <f>3-2</f>
        <v>1</v>
      </c>
      <c r="BA12" s="279">
        <v>5</v>
      </c>
      <c r="BB12" s="285"/>
      <c r="BC12" s="286"/>
      <c r="BD12" s="285"/>
      <c r="BE12" s="279">
        <f>1-1</f>
        <v>0</v>
      </c>
      <c r="BF12" s="279"/>
      <c r="BG12" s="279"/>
      <c r="BH12" s="279"/>
      <c r="BI12" s="279"/>
      <c r="BJ12" s="279">
        <v>1</v>
      </c>
      <c r="BK12" s="285">
        <v>1</v>
      </c>
      <c r="BL12" s="308"/>
      <c r="BM12" s="279"/>
      <c r="BN12" s="284"/>
      <c r="BO12" s="473"/>
      <c r="BP12" s="473"/>
      <c r="BQ12" s="473"/>
      <c r="BR12" s="473"/>
      <c r="BS12" s="473"/>
      <c r="BT12" s="473"/>
      <c r="BU12" s="473"/>
      <c r="BV12" s="473"/>
      <c r="BW12" s="473"/>
      <c r="BX12" s="473"/>
      <c r="BY12" s="473"/>
      <c r="BZ12" s="473"/>
      <c r="CA12" s="473"/>
      <c r="CB12" s="473"/>
      <c r="CC12" s="473"/>
      <c r="CD12" s="473"/>
      <c r="CE12" s="473"/>
      <c r="CF12" s="473"/>
      <c r="CG12" s="473"/>
      <c r="CH12" s="473"/>
      <c r="CI12" s="473"/>
      <c r="CJ12" s="473"/>
      <c r="CK12" s="473"/>
      <c r="CL12" s="473"/>
      <c r="CM12" s="473"/>
      <c r="CN12" s="473"/>
    </row>
    <row r="13" spans="1:92" s="87" customFormat="1" ht="39.950000000000003" customHeight="1" x14ac:dyDescent="0.15">
      <c r="A13" s="110" t="s">
        <v>61</v>
      </c>
      <c r="B13" s="116">
        <f t="shared" si="0"/>
        <v>203</v>
      </c>
      <c r="C13" s="165">
        <f t="shared" si="10"/>
        <v>203</v>
      </c>
      <c r="D13" s="111">
        <v>1</v>
      </c>
      <c r="E13" s="112"/>
      <c r="F13" s="113">
        <v>1</v>
      </c>
      <c r="G13" s="109"/>
      <c r="H13" s="114"/>
      <c r="I13" s="115">
        <v>1</v>
      </c>
      <c r="J13" s="115"/>
      <c r="K13" s="114"/>
      <c r="L13" s="109">
        <v>8</v>
      </c>
      <c r="M13" s="109"/>
      <c r="N13" s="109"/>
      <c r="O13" s="109"/>
      <c r="P13" s="115"/>
      <c r="Q13" s="111">
        <v>36</v>
      </c>
      <c r="R13" s="109"/>
      <c r="S13" s="109">
        <v>2</v>
      </c>
      <c r="T13" s="109"/>
      <c r="U13" s="109">
        <f>0+8</f>
        <v>8</v>
      </c>
      <c r="V13" s="109"/>
      <c r="W13" s="279"/>
      <c r="X13" s="279"/>
      <c r="Y13" s="279"/>
      <c r="Z13" s="279">
        <v>1</v>
      </c>
      <c r="AA13" s="286">
        <v>26</v>
      </c>
      <c r="AB13" s="279">
        <v>1</v>
      </c>
      <c r="AC13" s="279"/>
      <c r="AD13" s="279">
        <v>1</v>
      </c>
      <c r="AE13" s="279"/>
      <c r="AF13" s="279">
        <v>1</v>
      </c>
      <c r="AG13" s="279"/>
      <c r="AH13" s="279">
        <v>4</v>
      </c>
      <c r="AI13" s="279"/>
      <c r="AJ13" s="279">
        <v>1</v>
      </c>
      <c r="AK13" s="279"/>
      <c r="AL13" s="279">
        <f>0+7+1</f>
        <v>8</v>
      </c>
      <c r="AM13" s="284"/>
      <c r="AN13" s="285"/>
      <c r="AO13" s="279">
        <f>46+1</f>
        <v>47</v>
      </c>
      <c r="AP13" s="279"/>
      <c r="AQ13" s="279"/>
      <c r="AR13" s="279"/>
      <c r="AS13" s="279">
        <v>4</v>
      </c>
      <c r="AT13" s="279"/>
      <c r="AU13" s="279">
        <v>2</v>
      </c>
      <c r="AV13" s="285"/>
      <c r="AW13" s="276">
        <f>32+1</f>
        <v>33</v>
      </c>
      <c r="AX13" s="279">
        <f>0+7+1</f>
        <v>8</v>
      </c>
      <c r="AY13" s="279"/>
      <c r="AZ13" s="279">
        <v>1</v>
      </c>
      <c r="BA13" s="279">
        <v>4</v>
      </c>
      <c r="BB13" s="285"/>
      <c r="BC13" s="286"/>
      <c r="BD13" s="285"/>
      <c r="BE13" s="286"/>
      <c r="BF13" s="279"/>
      <c r="BG13" s="279"/>
      <c r="BH13" s="279"/>
      <c r="BI13" s="279"/>
      <c r="BJ13" s="279">
        <v>2</v>
      </c>
      <c r="BK13" s="285">
        <f>3-1</f>
        <v>2</v>
      </c>
      <c r="BL13" s="308"/>
      <c r="BM13" s="279"/>
      <c r="BN13" s="284"/>
      <c r="BO13" s="493"/>
      <c r="BP13" s="470"/>
      <c r="BQ13" s="470"/>
      <c r="BR13" s="470"/>
      <c r="BS13" s="470"/>
      <c r="BT13" s="470"/>
      <c r="BU13" s="470"/>
      <c r="BV13" s="470"/>
      <c r="BW13" s="470"/>
      <c r="BX13" s="470"/>
      <c r="BY13" s="470"/>
      <c r="BZ13" s="470"/>
      <c r="CA13" s="470"/>
      <c r="CB13" s="470"/>
      <c r="CC13" s="470"/>
      <c r="CD13" s="470"/>
      <c r="CE13" s="470"/>
      <c r="CF13" s="470"/>
      <c r="CG13" s="470"/>
      <c r="CH13" s="470"/>
      <c r="CI13" s="470"/>
      <c r="CJ13" s="470"/>
      <c r="CK13" s="470"/>
    </row>
    <row r="14" spans="1:92" s="87" customFormat="1" ht="39.950000000000003" customHeight="1" x14ac:dyDescent="0.15">
      <c r="A14" s="110" t="s">
        <v>62</v>
      </c>
      <c r="B14" s="116">
        <f t="shared" si="0"/>
        <v>166</v>
      </c>
      <c r="C14" s="165">
        <f t="shared" si="10"/>
        <v>166</v>
      </c>
      <c r="D14" s="111">
        <v>1</v>
      </c>
      <c r="E14" s="112"/>
      <c r="F14" s="113">
        <v>1</v>
      </c>
      <c r="G14" s="109"/>
      <c r="H14" s="114"/>
      <c r="I14" s="115">
        <v>1</v>
      </c>
      <c r="J14" s="115"/>
      <c r="K14" s="114"/>
      <c r="L14" s="109">
        <v>6</v>
      </c>
      <c r="M14" s="109"/>
      <c r="N14" s="109"/>
      <c r="O14" s="109"/>
      <c r="P14" s="115"/>
      <c r="Q14" s="111">
        <v>33</v>
      </c>
      <c r="R14" s="109"/>
      <c r="S14" s="109">
        <v>2</v>
      </c>
      <c r="T14" s="109"/>
      <c r="U14" s="109">
        <f>0+6</f>
        <v>6</v>
      </c>
      <c r="V14" s="109"/>
      <c r="W14" s="279"/>
      <c r="X14" s="279"/>
      <c r="Y14" s="279"/>
      <c r="Z14" s="279">
        <v>1</v>
      </c>
      <c r="AA14" s="286">
        <v>25</v>
      </c>
      <c r="AB14" s="279">
        <v>1</v>
      </c>
      <c r="AC14" s="279"/>
      <c r="AD14" s="279">
        <v>1</v>
      </c>
      <c r="AE14" s="279"/>
      <c r="AF14" s="279">
        <v>1</v>
      </c>
      <c r="AG14" s="279"/>
      <c r="AH14" s="279">
        <v>2</v>
      </c>
      <c r="AI14" s="279"/>
      <c r="AJ14" s="279">
        <v>1</v>
      </c>
      <c r="AK14" s="279"/>
      <c r="AL14" s="279">
        <f>0+5+1</f>
        <v>6</v>
      </c>
      <c r="AM14" s="284"/>
      <c r="AN14" s="285"/>
      <c r="AO14" s="279">
        <f>37+2</f>
        <v>39</v>
      </c>
      <c r="AP14" s="279"/>
      <c r="AQ14" s="279"/>
      <c r="AR14" s="279"/>
      <c r="AS14" s="279"/>
      <c r="AT14" s="279"/>
      <c r="AU14" s="279">
        <v>2</v>
      </c>
      <c r="AV14" s="285"/>
      <c r="AW14" s="286">
        <v>27</v>
      </c>
      <c r="AX14" s="279">
        <f>0+5+1</f>
        <v>6</v>
      </c>
      <c r="AY14" s="279"/>
      <c r="AZ14" s="279">
        <v>0</v>
      </c>
      <c r="BA14" s="279">
        <v>2</v>
      </c>
      <c r="BB14" s="285"/>
      <c r="BC14" s="286"/>
      <c r="BD14" s="285"/>
      <c r="BE14" s="286">
        <v>1</v>
      </c>
      <c r="BF14" s="279"/>
      <c r="BG14" s="279"/>
      <c r="BH14" s="279">
        <f>1-1</f>
        <v>0</v>
      </c>
      <c r="BI14" s="279">
        <v>1</v>
      </c>
      <c r="BJ14" s="279"/>
      <c r="BK14" s="285"/>
      <c r="BL14" s="308"/>
      <c r="BM14" s="279"/>
      <c r="BN14" s="284"/>
      <c r="BO14" s="493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</row>
    <row r="15" spans="1:92" s="87" customFormat="1" ht="39.950000000000003" customHeight="1" x14ac:dyDescent="0.15">
      <c r="A15" s="110" t="s">
        <v>63</v>
      </c>
      <c r="B15" s="116">
        <f t="shared" si="0"/>
        <v>116</v>
      </c>
      <c r="C15" s="165">
        <f t="shared" si="10"/>
        <v>116</v>
      </c>
      <c r="D15" s="111"/>
      <c r="E15" s="112"/>
      <c r="F15" s="113">
        <v>1</v>
      </c>
      <c r="G15" s="109"/>
      <c r="H15" s="114"/>
      <c r="I15" s="115"/>
      <c r="J15" s="115"/>
      <c r="K15" s="114"/>
      <c r="L15" s="109">
        <v>7</v>
      </c>
      <c r="M15" s="109"/>
      <c r="N15" s="109"/>
      <c r="O15" s="109"/>
      <c r="P15" s="115"/>
      <c r="Q15" s="111">
        <v>22</v>
      </c>
      <c r="R15" s="109"/>
      <c r="S15" s="109">
        <v>2</v>
      </c>
      <c r="T15" s="109"/>
      <c r="U15" s="365">
        <f>0+5-1+1</f>
        <v>5</v>
      </c>
      <c r="V15" s="109"/>
      <c r="W15" s="279"/>
      <c r="X15" s="279"/>
      <c r="Y15" s="279"/>
      <c r="Z15" s="279">
        <v>1</v>
      </c>
      <c r="AA15" s="286">
        <f>14+1</f>
        <v>15</v>
      </c>
      <c r="AB15" s="279">
        <v>1</v>
      </c>
      <c r="AC15" s="279"/>
      <c r="AD15" s="279">
        <v>1</v>
      </c>
      <c r="AE15" s="279"/>
      <c r="AF15" s="279">
        <v>1</v>
      </c>
      <c r="AG15" s="279"/>
      <c r="AH15" s="279"/>
      <c r="AI15" s="279"/>
      <c r="AJ15" s="279"/>
      <c r="AK15" s="279"/>
      <c r="AL15" s="279">
        <f>0+4+1</f>
        <v>5</v>
      </c>
      <c r="AM15" s="284"/>
      <c r="AN15" s="285"/>
      <c r="AO15" s="279">
        <f>24+2</f>
        <v>26</v>
      </c>
      <c r="AP15" s="279"/>
      <c r="AQ15" s="279"/>
      <c r="AR15" s="366">
        <f>0+1-1</f>
        <v>0</v>
      </c>
      <c r="AS15" s="279">
        <v>1</v>
      </c>
      <c r="AT15" s="279"/>
      <c r="AU15" s="279">
        <v>1</v>
      </c>
      <c r="AV15" s="285"/>
      <c r="AW15" s="279">
        <v>18</v>
      </c>
      <c r="AX15" s="279">
        <f>0+4+1</f>
        <v>5</v>
      </c>
      <c r="AY15" s="279"/>
      <c r="AZ15" s="279">
        <v>2</v>
      </c>
      <c r="BA15" s="279">
        <v>2</v>
      </c>
      <c r="BB15" s="285"/>
      <c r="BC15" s="286"/>
      <c r="BD15" s="285"/>
      <c r="BE15" s="286"/>
      <c r="BF15" s="279"/>
      <c r="BG15" s="279"/>
      <c r="BH15" s="279"/>
      <c r="BI15" s="279"/>
      <c r="BJ15" s="279"/>
      <c r="BK15" s="285"/>
      <c r="BL15" s="308"/>
      <c r="BM15" s="279"/>
      <c r="BN15" s="284"/>
      <c r="BO15" s="376"/>
      <c r="BP15" s="469"/>
      <c r="BQ15" s="469"/>
      <c r="BR15" s="469"/>
      <c r="BS15" s="469"/>
      <c r="BT15" s="469"/>
      <c r="BU15" s="469"/>
      <c r="BV15" s="469"/>
      <c r="BW15" s="469"/>
      <c r="BX15" s="469"/>
      <c r="BY15" s="469"/>
      <c r="BZ15" s="469"/>
      <c r="CA15" s="469"/>
    </row>
    <row r="16" spans="1:92" s="87" customFormat="1" ht="39.950000000000003" customHeight="1" x14ac:dyDescent="0.15">
      <c r="A16" s="172" t="s">
        <v>64</v>
      </c>
      <c r="B16" s="173">
        <f>C16</f>
        <v>144</v>
      </c>
      <c r="C16" s="174">
        <f t="shared" si="10"/>
        <v>144</v>
      </c>
      <c r="D16" s="175"/>
      <c r="E16" s="112">
        <f>1-1</f>
        <v>0</v>
      </c>
      <c r="F16" s="113">
        <f>0+1</f>
        <v>1</v>
      </c>
      <c r="G16" s="176"/>
      <c r="H16" s="177"/>
      <c r="I16" s="178"/>
      <c r="J16" s="178"/>
      <c r="K16" s="177"/>
      <c r="L16" s="176">
        <v>8</v>
      </c>
      <c r="M16" s="176"/>
      <c r="N16" s="176"/>
      <c r="O16" s="176"/>
      <c r="P16" s="178"/>
      <c r="Q16" s="175">
        <v>28</v>
      </c>
      <c r="R16" s="176"/>
      <c r="S16" s="176">
        <v>2</v>
      </c>
      <c r="T16" s="176"/>
      <c r="U16" s="365">
        <f>0+6-1+1</f>
        <v>6</v>
      </c>
      <c r="V16" s="176"/>
      <c r="W16" s="309"/>
      <c r="X16" s="309"/>
      <c r="Y16" s="309"/>
      <c r="Z16" s="309">
        <v>1</v>
      </c>
      <c r="AA16" s="310">
        <v>22</v>
      </c>
      <c r="AB16" s="309">
        <v>1</v>
      </c>
      <c r="AC16" s="309">
        <v>2</v>
      </c>
      <c r="AD16" s="309">
        <v>1</v>
      </c>
      <c r="AE16" s="309"/>
      <c r="AF16" s="309">
        <v>1</v>
      </c>
      <c r="AG16" s="309"/>
      <c r="AH16" s="309"/>
      <c r="AI16" s="309"/>
      <c r="AJ16" s="309"/>
      <c r="AK16" s="309"/>
      <c r="AL16" s="279">
        <f>0+5+1</f>
        <v>6</v>
      </c>
      <c r="AM16" s="311"/>
      <c r="AN16" s="312"/>
      <c r="AO16" s="279">
        <f>28+2</f>
        <v>30</v>
      </c>
      <c r="AP16" s="309"/>
      <c r="AQ16" s="309"/>
      <c r="AR16" s="367">
        <f>0+1-1</f>
        <v>0</v>
      </c>
      <c r="AS16" s="309">
        <v>1</v>
      </c>
      <c r="AT16" s="309">
        <v>2</v>
      </c>
      <c r="AU16" s="309">
        <v>1</v>
      </c>
      <c r="AV16" s="312"/>
      <c r="AW16" s="310">
        <v>21</v>
      </c>
      <c r="AX16" s="279">
        <f>0+5+1</f>
        <v>6</v>
      </c>
      <c r="AY16" s="309"/>
      <c r="AZ16" s="309">
        <v>1</v>
      </c>
      <c r="BA16" s="309">
        <v>3</v>
      </c>
      <c r="BB16" s="312"/>
      <c r="BC16" s="310"/>
      <c r="BD16" s="312"/>
      <c r="BE16" s="310">
        <v>0</v>
      </c>
      <c r="BF16" s="309"/>
      <c r="BG16" s="309"/>
      <c r="BH16" s="309"/>
      <c r="BI16" s="309"/>
      <c r="BJ16" s="309">
        <v>0</v>
      </c>
      <c r="BK16" s="312"/>
      <c r="BL16" s="313"/>
      <c r="BM16" s="288"/>
      <c r="BN16" s="289"/>
      <c r="BO16" s="493"/>
      <c r="BP16" s="470"/>
      <c r="BQ16" s="470"/>
      <c r="BR16" s="470"/>
      <c r="BS16" s="470"/>
      <c r="BT16" s="470"/>
      <c r="BU16" s="470"/>
      <c r="BV16" s="470"/>
      <c r="BW16" s="470"/>
      <c r="BX16" s="470"/>
      <c r="BY16" s="470"/>
      <c r="BZ16" s="470"/>
    </row>
    <row r="17" spans="1:66" ht="39.950000000000003" customHeight="1" x14ac:dyDescent="0.15">
      <c r="A17" s="218" t="s">
        <v>256</v>
      </c>
      <c r="B17" s="208">
        <f>C17</f>
        <v>24</v>
      </c>
      <c r="C17" s="192">
        <f>SUM(D17:BN17)</f>
        <v>24</v>
      </c>
      <c r="D17" s="187"/>
      <c r="E17" s="187"/>
      <c r="F17" s="191">
        <f>SUM(F18:F19)</f>
        <v>2</v>
      </c>
      <c r="G17" s="189"/>
      <c r="H17" s="190"/>
      <c r="I17" s="188"/>
      <c r="J17" s="189"/>
      <c r="K17" s="190"/>
      <c r="L17" s="191">
        <f>SUM(L18:L19)</f>
        <v>4</v>
      </c>
      <c r="M17" s="189"/>
      <c r="N17" s="189"/>
      <c r="O17" s="189"/>
      <c r="P17" s="190"/>
      <c r="Q17" s="191"/>
      <c r="R17" s="189"/>
      <c r="S17" s="189"/>
      <c r="T17" s="194">
        <f>SUM(T18:T19)</f>
        <v>6</v>
      </c>
      <c r="U17" s="189"/>
      <c r="V17" s="189"/>
      <c r="W17" s="314"/>
      <c r="X17" s="314"/>
      <c r="Y17" s="314"/>
      <c r="Z17" s="315"/>
      <c r="AA17" s="304">
        <f>SUM(AA18:AA19)</f>
        <v>4</v>
      </c>
      <c r="AB17" s="314"/>
      <c r="AC17" s="314"/>
      <c r="AD17" s="314"/>
      <c r="AE17" s="314"/>
      <c r="AF17" s="314"/>
      <c r="AG17" s="314"/>
      <c r="AH17" s="314"/>
      <c r="AI17" s="314"/>
      <c r="AJ17" s="314"/>
      <c r="AK17" s="314"/>
      <c r="AL17" s="314"/>
      <c r="AM17" s="314"/>
      <c r="AN17" s="316"/>
      <c r="AO17" s="304">
        <f>SUM(AO18:AO19)</f>
        <v>2</v>
      </c>
      <c r="AP17" s="314"/>
      <c r="AQ17" s="314"/>
      <c r="AR17" s="314"/>
      <c r="AS17" s="314"/>
      <c r="AT17" s="314"/>
      <c r="AU17" s="314"/>
      <c r="AV17" s="316"/>
      <c r="AW17" s="317"/>
      <c r="AX17" s="314"/>
      <c r="AY17" s="314"/>
      <c r="AZ17" s="314"/>
      <c r="BA17" s="314"/>
      <c r="BB17" s="316"/>
      <c r="BC17" s="318"/>
      <c r="BD17" s="319">
        <f>SUM(BD18:BD19)</f>
        <v>2</v>
      </c>
      <c r="BE17" s="317"/>
      <c r="BF17" s="314"/>
      <c r="BG17" s="314"/>
      <c r="BH17" s="314"/>
      <c r="BI17" s="314"/>
      <c r="BJ17" s="314"/>
      <c r="BK17" s="316"/>
      <c r="BL17" s="320"/>
      <c r="BM17" s="305">
        <f t="shared" ref="BM17:BN17" si="18">SUM(BM18:BM19)</f>
        <v>2</v>
      </c>
      <c r="BN17" s="319">
        <f t="shared" si="18"/>
        <v>2</v>
      </c>
    </row>
    <row r="18" spans="1:66" ht="39.950000000000003" customHeight="1" x14ac:dyDescent="0.15">
      <c r="A18" s="110" t="s">
        <v>253</v>
      </c>
      <c r="B18" s="116">
        <f t="shared" ref="B18:B19" si="19">C18</f>
        <v>12</v>
      </c>
      <c r="C18" s="174">
        <f>SUM(D18:BN18)</f>
        <v>12</v>
      </c>
      <c r="D18" s="183"/>
      <c r="E18" s="183"/>
      <c r="F18" s="109">
        <f>0+1</f>
        <v>1</v>
      </c>
      <c r="G18" s="109"/>
      <c r="H18" s="114"/>
      <c r="I18" s="181"/>
      <c r="J18" s="179"/>
      <c r="K18" s="185"/>
      <c r="L18" s="109">
        <f>0+2</f>
        <v>2</v>
      </c>
      <c r="M18" s="109"/>
      <c r="N18" s="109"/>
      <c r="O18" s="179"/>
      <c r="P18" s="185"/>
      <c r="Q18" s="109"/>
      <c r="R18" s="109"/>
      <c r="S18" s="109"/>
      <c r="T18" s="109">
        <f>0+3</f>
        <v>3</v>
      </c>
      <c r="U18" s="179"/>
      <c r="V18" s="179"/>
      <c r="W18" s="321"/>
      <c r="X18" s="279"/>
      <c r="Y18" s="279"/>
      <c r="Z18" s="284"/>
      <c r="AA18" s="286">
        <f>0+2</f>
        <v>2</v>
      </c>
      <c r="AB18" s="279"/>
      <c r="AC18" s="279"/>
      <c r="AD18" s="321"/>
      <c r="AE18" s="321"/>
      <c r="AF18" s="321"/>
      <c r="AG18" s="321"/>
      <c r="AH18" s="321"/>
      <c r="AI18" s="321"/>
      <c r="AJ18" s="321"/>
      <c r="AK18" s="321"/>
      <c r="AL18" s="321"/>
      <c r="AM18" s="321"/>
      <c r="AN18" s="322"/>
      <c r="AO18" s="279">
        <f>0+1</f>
        <v>1</v>
      </c>
      <c r="AP18" s="279"/>
      <c r="AQ18" s="279"/>
      <c r="AR18" s="321"/>
      <c r="AS18" s="321"/>
      <c r="AT18" s="321"/>
      <c r="AU18" s="321"/>
      <c r="AV18" s="322"/>
      <c r="AW18" s="323"/>
      <c r="AX18" s="321"/>
      <c r="AY18" s="321"/>
      <c r="AZ18" s="321"/>
      <c r="BA18" s="321"/>
      <c r="BB18" s="322"/>
      <c r="BC18" s="323"/>
      <c r="BD18" s="285">
        <f>0+1</f>
        <v>1</v>
      </c>
      <c r="BE18" s="323"/>
      <c r="BF18" s="321"/>
      <c r="BG18" s="321"/>
      <c r="BH18" s="321"/>
      <c r="BI18" s="321"/>
      <c r="BJ18" s="321"/>
      <c r="BK18" s="322"/>
      <c r="BL18" s="324"/>
      <c r="BM18" s="279">
        <f t="shared" ref="BM18:BN19" si="20">0+1</f>
        <v>1</v>
      </c>
      <c r="BN18" s="279">
        <f t="shared" si="20"/>
        <v>1</v>
      </c>
    </row>
    <row r="19" spans="1:66" ht="39.950000000000003" customHeight="1" thickBot="1" x14ac:dyDescent="0.2">
      <c r="A19" s="117" t="s">
        <v>254</v>
      </c>
      <c r="B19" s="209">
        <f t="shared" si="19"/>
        <v>12</v>
      </c>
      <c r="C19" s="174">
        <f>SUM(D19:BN19)</f>
        <v>12</v>
      </c>
      <c r="D19" s="184"/>
      <c r="E19" s="184"/>
      <c r="F19" s="176">
        <f>0+1</f>
        <v>1</v>
      </c>
      <c r="G19" s="176"/>
      <c r="H19" s="177"/>
      <c r="I19" s="182"/>
      <c r="J19" s="180"/>
      <c r="K19" s="186"/>
      <c r="L19" s="176">
        <f>0+2</f>
        <v>2</v>
      </c>
      <c r="M19" s="176"/>
      <c r="N19" s="176"/>
      <c r="O19" s="180"/>
      <c r="P19" s="186"/>
      <c r="Q19" s="176"/>
      <c r="R19" s="176"/>
      <c r="S19" s="176"/>
      <c r="T19" s="176">
        <f>0+3</f>
        <v>3</v>
      </c>
      <c r="U19" s="180"/>
      <c r="V19" s="180"/>
      <c r="W19" s="180"/>
      <c r="X19" s="176"/>
      <c r="Y19" s="176"/>
      <c r="Z19" s="178"/>
      <c r="AA19" s="175">
        <f>0+2</f>
        <v>2</v>
      </c>
      <c r="AB19" s="176"/>
      <c r="AC19" s="176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6"/>
      <c r="AO19" s="176">
        <f>0+1</f>
        <v>1</v>
      </c>
      <c r="AP19" s="176"/>
      <c r="AQ19" s="176"/>
      <c r="AR19" s="180"/>
      <c r="AS19" s="180"/>
      <c r="AT19" s="180"/>
      <c r="AU19" s="180"/>
      <c r="AV19" s="186"/>
      <c r="AW19" s="182"/>
      <c r="AX19" s="180"/>
      <c r="AY19" s="180"/>
      <c r="AZ19" s="180"/>
      <c r="BA19" s="180"/>
      <c r="BB19" s="186"/>
      <c r="BC19" s="182"/>
      <c r="BD19" s="177">
        <f>0+1</f>
        <v>1</v>
      </c>
      <c r="BE19" s="182"/>
      <c r="BF19" s="180"/>
      <c r="BG19" s="180"/>
      <c r="BH19" s="180"/>
      <c r="BI19" s="180"/>
      <c r="BJ19" s="180"/>
      <c r="BK19" s="186"/>
      <c r="BL19" s="184"/>
      <c r="BM19" s="176">
        <f t="shared" si="20"/>
        <v>1</v>
      </c>
      <c r="BN19" s="176">
        <f t="shared" si="20"/>
        <v>1</v>
      </c>
    </row>
    <row r="20" spans="1:66" ht="30" customHeight="1" x14ac:dyDescent="0.15"/>
    <row r="21" spans="1:66" ht="30" customHeight="1" x14ac:dyDescent="0.15"/>
    <row r="22" spans="1:66" ht="30" customHeight="1" x14ac:dyDescent="0.15"/>
    <row r="23" spans="1:66" ht="30" customHeight="1" x14ac:dyDescent="0.15"/>
    <row r="24" spans="1:66" ht="30" customHeight="1" x14ac:dyDescent="0.15"/>
    <row r="25" spans="1:66" ht="30" customHeight="1" x14ac:dyDescent="0.15"/>
    <row r="26" spans="1:66" ht="30" customHeight="1" x14ac:dyDescent="0.15"/>
    <row r="27" spans="1:66" ht="30" customHeight="1" x14ac:dyDescent="0.15"/>
  </sheetData>
  <mergeCells count="22">
    <mergeCell ref="BO16:BZ16"/>
    <mergeCell ref="AA5:AN5"/>
    <mergeCell ref="AO5:AV5"/>
    <mergeCell ref="AW5:BB5"/>
    <mergeCell ref="BC5:BD5"/>
    <mergeCell ref="BE5:BK5"/>
    <mergeCell ref="BM5:BN5"/>
    <mergeCell ref="BO10:BZ10"/>
    <mergeCell ref="BO12:CN12"/>
    <mergeCell ref="BO13:CK13"/>
    <mergeCell ref="BO14:CC14"/>
    <mergeCell ref="BO15:CA15"/>
    <mergeCell ref="A2:BL2"/>
    <mergeCell ref="A4:A6"/>
    <mergeCell ref="B4:B6"/>
    <mergeCell ref="C4:BL4"/>
    <mergeCell ref="BM4:BN4"/>
    <mergeCell ref="C5:C6"/>
    <mergeCell ref="F5:H5"/>
    <mergeCell ref="I5:K5"/>
    <mergeCell ref="L5:P5"/>
    <mergeCell ref="Q5:Z5"/>
  </mergeCells>
  <phoneticPr fontId="1" type="noConversion"/>
  <pageMargins left="0.15748031496062992" right="0.15748031496062992" top="0.5" bottom="0.19685039370078741" header="0.97" footer="0.51181102362204722"/>
  <pageSetup paperSize="9" scale="34" orientation="landscape" r:id="rId1"/>
  <headerFooter scaleWithDoc="0"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N27"/>
  <sheetViews>
    <sheetView view="pageBreakPreview" topLeftCell="B1" zoomScale="55" zoomScaleNormal="70" zoomScaleSheetLayoutView="55" workbookViewId="0">
      <selection activeCell="AR9" sqref="AR9"/>
    </sheetView>
  </sheetViews>
  <sheetFormatPr defaultColWidth="4.77734375" defaultRowHeight="12" x14ac:dyDescent="0.15"/>
  <cols>
    <col min="1" max="1" width="26.21875" style="14" bestFit="1" customWidth="1"/>
    <col min="2" max="2" width="6.33203125" style="14" customWidth="1"/>
    <col min="3" max="3" width="7.5546875" style="14" bestFit="1" customWidth="1"/>
    <col min="4" max="4" width="5" style="14" bestFit="1" customWidth="1"/>
    <col min="5" max="5" width="4.44140625" style="14" bestFit="1" customWidth="1"/>
    <col min="6" max="8" width="3.5546875" style="14" customWidth="1"/>
    <col min="9" max="11" width="5.21875" style="14" bestFit="1" customWidth="1"/>
    <col min="12" max="13" width="4.6640625" style="14" bestFit="1" customWidth="1"/>
    <col min="14" max="14" width="4.6640625" style="14" customWidth="1"/>
    <col min="15" max="15" width="3.5546875" style="14" customWidth="1"/>
    <col min="16" max="16" width="5.21875" style="14" bestFit="1" customWidth="1"/>
    <col min="17" max="17" width="5.77734375" style="14" bestFit="1" customWidth="1"/>
    <col min="18" max="18" width="3.5546875" style="14" bestFit="1" customWidth="1"/>
    <col min="19" max="19" width="4.6640625" style="14" bestFit="1" customWidth="1"/>
    <col min="20" max="20" width="4.33203125" style="14" bestFit="1" customWidth="1"/>
    <col min="21" max="21" width="5.5546875" style="14" bestFit="1" customWidth="1"/>
    <col min="22" max="22" width="4.33203125" style="14" bestFit="1" customWidth="1"/>
    <col min="23" max="23" width="4.6640625" style="14" bestFit="1" customWidth="1"/>
    <col min="24" max="25" width="3.5546875" style="14" bestFit="1" customWidth="1"/>
    <col min="26" max="26" width="3.5546875" style="14" customWidth="1"/>
    <col min="27" max="27" width="5.77734375" style="14" bestFit="1" customWidth="1"/>
    <col min="28" max="30" width="3.5546875" style="20" bestFit="1" customWidth="1"/>
    <col min="31" max="33" width="3.5546875" style="14" bestFit="1" customWidth="1"/>
    <col min="34" max="34" width="4.6640625" style="14" bestFit="1" customWidth="1"/>
    <col min="35" max="37" width="3.5546875" style="14" bestFit="1" customWidth="1"/>
    <col min="38" max="38" width="4.6640625" style="14" bestFit="1" customWidth="1"/>
    <col min="39" max="39" width="3.5546875" style="14" bestFit="1" customWidth="1"/>
    <col min="40" max="40" width="4.6640625" style="14" bestFit="1" customWidth="1"/>
    <col min="41" max="41" width="5.77734375" style="14" bestFit="1" customWidth="1"/>
    <col min="42" max="43" width="4.5546875" style="14" customWidth="1"/>
    <col min="44" max="44" width="4.6640625" style="14" bestFit="1" customWidth="1"/>
    <col min="45" max="46" width="3.5546875" style="14" bestFit="1" customWidth="1"/>
    <col min="47" max="47" width="4.6640625" style="14" bestFit="1" customWidth="1"/>
    <col min="48" max="48" width="3.5546875" style="14" bestFit="1" customWidth="1"/>
    <col min="49" max="49" width="5.77734375" style="14" bestFit="1" customWidth="1"/>
    <col min="50" max="50" width="4.6640625" style="14" bestFit="1" customWidth="1"/>
    <col min="51" max="51" width="3.5546875" style="14" bestFit="1" customWidth="1"/>
    <col min="52" max="53" width="4.6640625" style="14" bestFit="1" customWidth="1"/>
    <col min="54" max="55" width="3.5546875" style="14" bestFit="1" customWidth="1"/>
    <col min="56" max="56" width="4.6640625" style="14" bestFit="1" customWidth="1"/>
    <col min="57" max="58" width="3.5546875" style="14" bestFit="1" customWidth="1"/>
    <col min="59" max="59" width="4.6640625" style="14" bestFit="1" customWidth="1"/>
    <col min="60" max="63" width="3.5546875" style="14" bestFit="1" customWidth="1"/>
    <col min="64" max="64" width="6.6640625" style="14" bestFit="1" customWidth="1"/>
    <col min="65" max="66" width="4" style="14" customWidth="1"/>
    <col min="67" max="16384" width="4.77734375" style="14"/>
  </cols>
  <sheetData>
    <row r="1" spans="1:92" ht="16.5" customHeight="1" x14ac:dyDescent="0.2">
      <c r="A1" s="13" t="s">
        <v>30</v>
      </c>
    </row>
    <row r="2" spans="1:92" s="15" customFormat="1" ht="30" customHeight="1" x14ac:dyDescent="0.3">
      <c r="A2" s="480" t="s">
        <v>31</v>
      </c>
      <c r="B2" s="480"/>
      <c r="C2" s="480"/>
      <c r="D2" s="480"/>
      <c r="E2" s="480"/>
      <c r="F2" s="480"/>
      <c r="G2" s="480"/>
      <c r="H2" s="480"/>
      <c r="I2" s="480"/>
      <c r="J2" s="480"/>
      <c r="K2" s="480"/>
      <c r="L2" s="480"/>
      <c r="M2" s="480"/>
      <c r="N2" s="480"/>
      <c r="O2" s="480"/>
      <c r="P2" s="480"/>
      <c r="Q2" s="480"/>
      <c r="R2" s="480"/>
      <c r="S2" s="480"/>
      <c r="T2" s="480"/>
      <c r="U2" s="480"/>
      <c r="V2" s="480"/>
      <c r="W2" s="480"/>
      <c r="X2" s="480"/>
      <c r="Y2" s="480"/>
      <c r="Z2" s="480"/>
      <c r="AA2" s="480"/>
      <c r="AB2" s="480"/>
      <c r="AC2" s="480"/>
      <c r="AD2" s="480"/>
      <c r="AE2" s="480"/>
      <c r="AF2" s="480"/>
      <c r="AG2" s="480"/>
      <c r="AH2" s="480"/>
      <c r="AI2" s="480"/>
      <c r="AJ2" s="480"/>
      <c r="AK2" s="480"/>
      <c r="AL2" s="480"/>
      <c r="AM2" s="480"/>
      <c r="AN2" s="480"/>
      <c r="AO2" s="480"/>
      <c r="AP2" s="480"/>
      <c r="AQ2" s="480"/>
      <c r="AR2" s="480"/>
      <c r="AS2" s="480"/>
      <c r="AT2" s="480"/>
      <c r="AU2" s="480"/>
      <c r="AV2" s="480"/>
      <c r="AW2" s="480"/>
      <c r="AX2" s="480"/>
      <c r="AY2" s="480"/>
      <c r="AZ2" s="480"/>
      <c r="BA2" s="480"/>
      <c r="BB2" s="480"/>
      <c r="BC2" s="480"/>
      <c r="BD2" s="480"/>
      <c r="BE2" s="480"/>
      <c r="BF2" s="480"/>
      <c r="BG2" s="480"/>
      <c r="BH2" s="480"/>
      <c r="BI2" s="480"/>
      <c r="BJ2" s="480"/>
      <c r="BK2" s="480"/>
      <c r="BL2" s="480"/>
      <c r="BM2" s="275"/>
      <c r="BN2" s="275"/>
    </row>
    <row r="3" spans="1:92" ht="30" customHeight="1" thickBot="1" x14ac:dyDescent="0.2">
      <c r="A3" s="166" t="s">
        <v>264</v>
      </c>
    </row>
    <row r="4" spans="1:92" s="78" customFormat="1" ht="30" customHeight="1" x14ac:dyDescent="0.15">
      <c r="A4" s="481" t="s">
        <v>98</v>
      </c>
      <c r="B4" s="484" t="s">
        <v>99</v>
      </c>
      <c r="C4" s="487" t="s">
        <v>100</v>
      </c>
      <c r="D4" s="488"/>
      <c r="E4" s="488"/>
      <c r="F4" s="488"/>
      <c r="G4" s="488"/>
      <c r="H4" s="488"/>
      <c r="I4" s="488"/>
      <c r="J4" s="488"/>
      <c r="K4" s="488"/>
      <c r="L4" s="488"/>
      <c r="M4" s="488"/>
      <c r="N4" s="488"/>
      <c r="O4" s="488"/>
      <c r="P4" s="488"/>
      <c r="Q4" s="488"/>
      <c r="R4" s="488"/>
      <c r="S4" s="488"/>
      <c r="T4" s="488"/>
      <c r="U4" s="488"/>
      <c r="V4" s="488"/>
      <c r="W4" s="488"/>
      <c r="X4" s="488"/>
      <c r="Y4" s="488"/>
      <c r="Z4" s="488"/>
      <c r="AA4" s="488"/>
      <c r="AB4" s="488"/>
      <c r="AC4" s="488"/>
      <c r="AD4" s="488"/>
      <c r="AE4" s="488"/>
      <c r="AF4" s="488"/>
      <c r="AG4" s="488"/>
      <c r="AH4" s="488"/>
      <c r="AI4" s="488"/>
      <c r="AJ4" s="488"/>
      <c r="AK4" s="488"/>
      <c r="AL4" s="488"/>
      <c r="AM4" s="488"/>
      <c r="AN4" s="488"/>
      <c r="AO4" s="488"/>
      <c r="AP4" s="488"/>
      <c r="AQ4" s="488"/>
      <c r="AR4" s="488"/>
      <c r="AS4" s="488"/>
      <c r="AT4" s="488"/>
      <c r="AU4" s="488"/>
      <c r="AV4" s="488"/>
      <c r="AW4" s="488"/>
      <c r="AX4" s="488"/>
      <c r="AY4" s="488"/>
      <c r="AZ4" s="488"/>
      <c r="BA4" s="488"/>
      <c r="BB4" s="488"/>
      <c r="BC4" s="488"/>
      <c r="BD4" s="488"/>
      <c r="BE4" s="488"/>
      <c r="BF4" s="488"/>
      <c r="BG4" s="488"/>
      <c r="BH4" s="488"/>
      <c r="BI4" s="488"/>
      <c r="BJ4" s="488"/>
      <c r="BK4" s="488"/>
      <c r="BL4" s="489"/>
      <c r="BM4" s="474"/>
      <c r="BN4" s="474"/>
    </row>
    <row r="5" spans="1:92" s="78" customFormat="1" ht="29.25" customHeight="1" x14ac:dyDescent="0.15">
      <c r="A5" s="482"/>
      <c r="B5" s="485"/>
      <c r="C5" s="454" t="s">
        <v>101</v>
      </c>
      <c r="D5" s="274" t="s">
        <v>102</v>
      </c>
      <c r="E5" s="142" t="s">
        <v>103</v>
      </c>
      <c r="F5" s="456" t="s">
        <v>104</v>
      </c>
      <c r="G5" s="457"/>
      <c r="H5" s="458"/>
      <c r="I5" s="459" t="s">
        <v>105</v>
      </c>
      <c r="J5" s="459"/>
      <c r="K5" s="458"/>
      <c r="L5" s="457" t="s">
        <v>40</v>
      </c>
      <c r="M5" s="457"/>
      <c r="N5" s="457"/>
      <c r="O5" s="457"/>
      <c r="P5" s="459"/>
      <c r="Q5" s="491" t="s">
        <v>24</v>
      </c>
      <c r="R5" s="492"/>
      <c r="S5" s="492"/>
      <c r="T5" s="492"/>
      <c r="U5" s="492"/>
      <c r="V5" s="492"/>
      <c r="W5" s="492"/>
      <c r="X5" s="492"/>
      <c r="Y5" s="492"/>
      <c r="Z5" s="492"/>
      <c r="AA5" s="465" t="s">
        <v>106</v>
      </c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90"/>
      <c r="AN5" s="467"/>
      <c r="AO5" s="437" t="s">
        <v>25</v>
      </c>
      <c r="AP5" s="437"/>
      <c r="AQ5" s="437"/>
      <c r="AR5" s="437"/>
      <c r="AS5" s="437"/>
      <c r="AT5" s="437"/>
      <c r="AU5" s="437"/>
      <c r="AV5" s="438"/>
      <c r="AW5" s="436" t="s">
        <v>107</v>
      </c>
      <c r="AX5" s="437"/>
      <c r="AY5" s="437"/>
      <c r="AZ5" s="437"/>
      <c r="BA5" s="437"/>
      <c r="BB5" s="438"/>
      <c r="BC5" s="465" t="s">
        <v>41</v>
      </c>
      <c r="BD5" s="467"/>
      <c r="BE5" s="478" t="s">
        <v>65</v>
      </c>
      <c r="BF5" s="478"/>
      <c r="BG5" s="478"/>
      <c r="BH5" s="478"/>
      <c r="BI5" s="478"/>
      <c r="BJ5" s="478"/>
      <c r="BK5" s="479"/>
      <c r="BL5" s="193" t="s">
        <v>108</v>
      </c>
      <c r="BM5" s="471" t="s">
        <v>259</v>
      </c>
      <c r="BN5" s="494"/>
    </row>
    <row r="6" spans="1:92" s="78" customFormat="1" ht="302.10000000000002" customHeight="1" thickBot="1" x14ac:dyDescent="0.2">
      <c r="A6" s="483"/>
      <c r="B6" s="486"/>
      <c r="C6" s="455"/>
      <c r="D6" s="146" t="s">
        <v>42</v>
      </c>
      <c r="E6" s="147" t="s">
        <v>151</v>
      </c>
      <c r="F6" s="148" t="s">
        <v>152</v>
      </c>
      <c r="G6" s="149" t="s">
        <v>153</v>
      </c>
      <c r="H6" s="150" t="s">
        <v>154</v>
      </c>
      <c r="I6" s="151" t="s">
        <v>155</v>
      </c>
      <c r="J6" s="151" t="s">
        <v>224</v>
      </c>
      <c r="K6" s="150" t="s">
        <v>156</v>
      </c>
      <c r="L6" s="149" t="s">
        <v>70</v>
      </c>
      <c r="M6" s="149" t="s">
        <v>71</v>
      </c>
      <c r="N6" s="149" t="s">
        <v>249</v>
      </c>
      <c r="O6" s="149" t="s">
        <v>43</v>
      </c>
      <c r="P6" s="151" t="s">
        <v>72</v>
      </c>
      <c r="Q6" s="146" t="s">
        <v>44</v>
      </c>
      <c r="R6" s="149" t="s">
        <v>73</v>
      </c>
      <c r="S6" s="149" t="s">
        <v>109</v>
      </c>
      <c r="T6" s="149" t="s">
        <v>261</v>
      </c>
      <c r="U6" s="149" t="s">
        <v>74</v>
      </c>
      <c r="V6" s="149" t="s">
        <v>75</v>
      </c>
      <c r="W6" s="149" t="s">
        <v>76</v>
      </c>
      <c r="X6" s="149" t="s">
        <v>77</v>
      </c>
      <c r="Y6" s="149" t="s">
        <v>66</v>
      </c>
      <c r="Z6" s="149" t="s">
        <v>78</v>
      </c>
      <c r="AA6" s="146" t="s">
        <v>79</v>
      </c>
      <c r="AB6" s="149" t="s">
        <v>45</v>
      </c>
      <c r="AC6" s="149" t="s">
        <v>80</v>
      </c>
      <c r="AD6" s="149" t="s">
        <v>81</v>
      </c>
      <c r="AE6" s="149" t="s">
        <v>82</v>
      </c>
      <c r="AF6" s="149" t="s">
        <v>83</v>
      </c>
      <c r="AG6" s="149" t="s">
        <v>110</v>
      </c>
      <c r="AH6" s="149" t="s">
        <v>84</v>
      </c>
      <c r="AI6" s="149" t="s">
        <v>85</v>
      </c>
      <c r="AJ6" s="149" t="s">
        <v>86</v>
      </c>
      <c r="AK6" s="149" t="s">
        <v>87</v>
      </c>
      <c r="AL6" s="149" t="s">
        <v>88</v>
      </c>
      <c r="AM6" s="151" t="s">
        <v>46</v>
      </c>
      <c r="AN6" s="150" t="s">
        <v>89</v>
      </c>
      <c r="AO6" s="149" t="s">
        <v>90</v>
      </c>
      <c r="AP6" s="149" t="s">
        <v>91</v>
      </c>
      <c r="AQ6" s="149" t="s">
        <v>47</v>
      </c>
      <c r="AR6" s="149" t="s">
        <v>48</v>
      </c>
      <c r="AS6" s="149" t="s">
        <v>111</v>
      </c>
      <c r="AT6" s="149" t="s">
        <v>92</v>
      </c>
      <c r="AU6" s="149" t="s">
        <v>93</v>
      </c>
      <c r="AV6" s="150" t="s">
        <v>49</v>
      </c>
      <c r="AW6" s="146" t="s">
        <v>94</v>
      </c>
      <c r="AX6" s="149" t="s">
        <v>50</v>
      </c>
      <c r="AY6" s="149" t="s">
        <v>112</v>
      </c>
      <c r="AZ6" s="149" t="s">
        <v>113</v>
      </c>
      <c r="BA6" s="149" t="s">
        <v>114</v>
      </c>
      <c r="BB6" s="150" t="s">
        <v>115</v>
      </c>
      <c r="BC6" s="146" t="s">
        <v>116</v>
      </c>
      <c r="BD6" s="150" t="s">
        <v>117</v>
      </c>
      <c r="BE6" s="148" t="s">
        <v>95</v>
      </c>
      <c r="BF6" s="152" t="s">
        <v>51</v>
      </c>
      <c r="BG6" s="152" t="s">
        <v>52</v>
      </c>
      <c r="BH6" s="152" t="s">
        <v>53</v>
      </c>
      <c r="BI6" s="152" t="s">
        <v>96</v>
      </c>
      <c r="BJ6" s="149" t="s">
        <v>54</v>
      </c>
      <c r="BK6" s="150" t="s">
        <v>19</v>
      </c>
      <c r="BL6" s="147" t="s">
        <v>55</v>
      </c>
      <c r="BM6" s="149" t="s">
        <v>257</v>
      </c>
      <c r="BN6" s="151" t="s">
        <v>258</v>
      </c>
    </row>
    <row r="7" spans="1:92" s="87" customFormat="1" ht="39.950000000000003" customHeight="1" thickTop="1" thickBot="1" x14ac:dyDescent="0.2">
      <c r="A7" s="80" t="s">
        <v>56</v>
      </c>
      <c r="B7" s="143">
        <f t="shared" ref="B7:B15" si="0">C7</f>
        <v>1166</v>
      </c>
      <c r="C7" s="144">
        <f>SUM(D7:BN7)</f>
        <v>1166</v>
      </c>
      <c r="D7" s="81">
        <f>D8+D9+D10+D11+D17</f>
        <v>4</v>
      </c>
      <c r="E7" s="82">
        <f>E8+E9+E10+E11+E17</f>
        <v>1</v>
      </c>
      <c r="F7" s="83">
        <f>F8+F9+F10+F11+F17</f>
        <v>9</v>
      </c>
      <c r="G7" s="83">
        <f t="shared" ref="G7:H7" si="1">G8+G9+G10+G11+G17</f>
        <v>1</v>
      </c>
      <c r="H7" s="85">
        <f t="shared" si="1"/>
        <v>1</v>
      </c>
      <c r="I7" s="83">
        <f>I8+I9+I10+I11+I17</f>
        <v>5</v>
      </c>
      <c r="J7" s="83">
        <f t="shared" ref="J7:K7" si="2">J8+J9+J10+J11+J17</f>
        <v>2</v>
      </c>
      <c r="K7" s="85">
        <f t="shared" si="2"/>
        <v>2</v>
      </c>
      <c r="L7" s="83">
        <f>L8+L9+L10+L11+L17</f>
        <v>45</v>
      </c>
      <c r="M7" s="84">
        <f t="shared" ref="M7:P7" si="3">M8+M9+M10+M11+M17</f>
        <v>13</v>
      </c>
      <c r="N7" s="84">
        <f t="shared" si="3"/>
        <v>1</v>
      </c>
      <c r="O7" s="84">
        <f t="shared" si="3"/>
        <v>2</v>
      </c>
      <c r="P7" s="84">
        <f t="shared" si="3"/>
        <v>1</v>
      </c>
      <c r="Q7" s="81">
        <f>Q8+Q9+Q10+Q11+Q17</f>
        <v>168</v>
      </c>
      <c r="R7" s="84">
        <f>R8+R9+R10+R11+R17</f>
        <v>3</v>
      </c>
      <c r="S7" s="84">
        <f t="shared" ref="S7:Z7" si="4">S8+S9+S10+S11+S17</f>
        <v>11</v>
      </c>
      <c r="T7" s="84">
        <f t="shared" si="4"/>
        <v>6</v>
      </c>
      <c r="U7" s="84">
        <f t="shared" si="4"/>
        <v>36</v>
      </c>
      <c r="V7" s="84">
        <f t="shared" si="4"/>
        <v>1</v>
      </c>
      <c r="W7" s="84">
        <f t="shared" si="4"/>
        <v>12</v>
      </c>
      <c r="X7" s="84">
        <f t="shared" si="4"/>
        <v>3</v>
      </c>
      <c r="Y7" s="84">
        <f t="shared" si="4"/>
        <v>1</v>
      </c>
      <c r="Z7" s="84">
        <f t="shared" si="4"/>
        <v>6</v>
      </c>
      <c r="AA7" s="81">
        <f>AA8+AA9+AA10+AA11+AA17</f>
        <v>138</v>
      </c>
      <c r="AB7" s="83">
        <f t="shared" ref="AB7:AN7" si="5">AB8+AB9+AB10+AB11+AB17</f>
        <v>6</v>
      </c>
      <c r="AC7" s="83">
        <f t="shared" si="5"/>
        <v>2</v>
      </c>
      <c r="AD7" s="83">
        <f t="shared" si="5"/>
        <v>6</v>
      </c>
      <c r="AE7" s="83">
        <f t="shared" si="5"/>
        <v>1</v>
      </c>
      <c r="AF7" s="83">
        <f t="shared" si="5"/>
        <v>8</v>
      </c>
      <c r="AG7" s="83">
        <f t="shared" si="5"/>
        <v>1</v>
      </c>
      <c r="AH7" s="83">
        <f t="shared" si="5"/>
        <v>10</v>
      </c>
      <c r="AI7" s="83">
        <f t="shared" si="5"/>
        <v>1</v>
      </c>
      <c r="AJ7" s="83">
        <f t="shared" si="5"/>
        <v>3</v>
      </c>
      <c r="AK7" s="83">
        <f t="shared" si="5"/>
        <v>1</v>
      </c>
      <c r="AL7" s="83">
        <f t="shared" si="5"/>
        <v>60</v>
      </c>
      <c r="AM7" s="83">
        <f t="shared" si="5"/>
        <v>3</v>
      </c>
      <c r="AN7" s="85">
        <f t="shared" si="5"/>
        <v>12</v>
      </c>
      <c r="AO7" s="83">
        <f>AO8+AO9+AO10+AO11+AO17</f>
        <v>205</v>
      </c>
      <c r="AP7" s="83">
        <f t="shared" ref="AP7:AV7" si="6">AP8+AP9+AP10+AP11+AP17</f>
        <v>2</v>
      </c>
      <c r="AQ7" s="83">
        <f t="shared" si="6"/>
        <v>1</v>
      </c>
      <c r="AR7" s="83">
        <f t="shared" si="6"/>
        <v>35</v>
      </c>
      <c r="AS7" s="83">
        <f t="shared" si="6"/>
        <v>6</v>
      </c>
      <c r="AT7" s="83">
        <f t="shared" si="6"/>
        <v>2</v>
      </c>
      <c r="AU7" s="83">
        <f t="shared" si="6"/>
        <v>13</v>
      </c>
      <c r="AV7" s="85">
        <f t="shared" si="6"/>
        <v>4</v>
      </c>
      <c r="AW7" s="81">
        <f>AW8+AW9+AW10+AW11+AW17</f>
        <v>148</v>
      </c>
      <c r="AX7" s="84">
        <f>AX8+AX9+AX10+AX11+AX17</f>
        <v>54</v>
      </c>
      <c r="AY7" s="84">
        <f t="shared" ref="AY7:BB7" si="7">AY8+AY9+AY10+AY11+AY17</f>
        <v>2</v>
      </c>
      <c r="AZ7" s="84">
        <f t="shared" si="7"/>
        <v>18</v>
      </c>
      <c r="BA7" s="84">
        <f t="shared" si="7"/>
        <v>39</v>
      </c>
      <c r="BB7" s="84">
        <f t="shared" si="7"/>
        <v>1</v>
      </c>
      <c r="BC7" s="81">
        <f>BC8+BC9+BC10+BC11+BC17</f>
        <v>3</v>
      </c>
      <c r="BD7" s="85">
        <f>BD8+BD9+BD10+BD11+BD17</f>
        <v>14</v>
      </c>
      <c r="BE7" s="83">
        <f>BE8+BE9+BE10+BE11+BE17</f>
        <v>1</v>
      </c>
      <c r="BF7" s="83">
        <f t="shared" ref="BF7:BK7" si="8">BF8+BF9+BF10+BF11+BF17</f>
        <v>3</v>
      </c>
      <c r="BG7" s="83">
        <f t="shared" si="8"/>
        <v>11</v>
      </c>
      <c r="BH7" s="83">
        <f t="shared" si="8"/>
        <v>2</v>
      </c>
      <c r="BI7" s="83">
        <f t="shared" si="8"/>
        <v>1</v>
      </c>
      <c r="BJ7" s="83">
        <f t="shared" si="8"/>
        <v>4</v>
      </c>
      <c r="BK7" s="85">
        <f t="shared" si="8"/>
        <v>4</v>
      </c>
      <c r="BL7" s="82">
        <f>BL8+BL9+BL10+BL11+BL17</f>
        <v>3</v>
      </c>
      <c r="BM7" s="82">
        <f t="shared" ref="BM7:BN7" si="9">BM8+BM9+BM10+BM11+BM17</f>
        <v>2</v>
      </c>
      <c r="BN7" s="82">
        <f t="shared" si="9"/>
        <v>2</v>
      </c>
    </row>
    <row r="8" spans="1:92" s="87" customFormat="1" ht="39.950000000000003" customHeight="1" thickTop="1" x14ac:dyDescent="0.15">
      <c r="A8" s="88" t="s">
        <v>57</v>
      </c>
      <c r="B8" s="89">
        <f t="shared" si="0"/>
        <v>30</v>
      </c>
      <c r="C8" s="162">
        <f t="shared" ref="C8:C16" si="10">SUM(D8:BL8)</f>
        <v>30</v>
      </c>
      <c r="D8" s="90"/>
      <c r="E8" s="91">
        <v>1</v>
      </c>
      <c r="F8" s="92">
        <v>1</v>
      </c>
      <c r="G8" s="93"/>
      <c r="H8" s="94"/>
      <c r="I8" s="95">
        <f>1+1</f>
        <v>2</v>
      </c>
      <c r="J8" s="95"/>
      <c r="K8" s="94"/>
      <c r="L8" s="93">
        <v>5</v>
      </c>
      <c r="M8" s="93"/>
      <c r="N8" s="93"/>
      <c r="O8" s="93">
        <v>1</v>
      </c>
      <c r="P8" s="95">
        <v>1</v>
      </c>
      <c r="Q8" s="90">
        <v>5</v>
      </c>
      <c r="R8" s="93"/>
      <c r="S8" s="93"/>
      <c r="T8" s="93"/>
      <c r="U8" s="93"/>
      <c r="V8" s="93"/>
      <c r="W8" s="93"/>
      <c r="X8" s="93"/>
      <c r="Y8" s="93"/>
      <c r="Z8" s="93"/>
      <c r="AA8" s="90">
        <v>1</v>
      </c>
      <c r="AB8" s="93"/>
      <c r="AC8" s="93"/>
      <c r="AD8" s="93"/>
      <c r="AE8" s="93"/>
      <c r="AF8" s="93"/>
      <c r="AG8" s="93"/>
      <c r="AH8" s="93"/>
      <c r="AI8" s="93"/>
      <c r="AJ8" s="93"/>
      <c r="AK8" s="93">
        <v>1</v>
      </c>
      <c r="AL8" s="93"/>
      <c r="AM8" s="95"/>
      <c r="AN8" s="94"/>
      <c r="AO8" s="93">
        <v>1</v>
      </c>
      <c r="AP8" s="93"/>
      <c r="AQ8" s="93"/>
      <c r="AR8" s="93"/>
      <c r="AS8" s="93"/>
      <c r="AT8" s="93"/>
      <c r="AU8" s="93"/>
      <c r="AV8" s="94"/>
      <c r="AW8" s="90">
        <v>4</v>
      </c>
      <c r="AX8" s="93"/>
      <c r="AY8" s="93">
        <v>1</v>
      </c>
      <c r="AZ8" s="93"/>
      <c r="BA8" s="93">
        <v>2</v>
      </c>
      <c r="BB8" s="94">
        <v>1</v>
      </c>
      <c r="BC8" s="90"/>
      <c r="BD8" s="94"/>
      <c r="BE8" s="92"/>
      <c r="BF8" s="93"/>
      <c r="BG8" s="93"/>
      <c r="BH8" s="93"/>
      <c r="BI8" s="93"/>
      <c r="BJ8" s="93"/>
      <c r="BK8" s="94"/>
      <c r="BL8" s="91">
        <v>3</v>
      </c>
      <c r="BM8" s="195"/>
      <c r="BN8" s="196"/>
    </row>
    <row r="9" spans="1:92" s="87" customFormat="1" ht="39.950000000000003" customHeight="1" x14ac:dyDescent="0.15">
      <c r="A9" s="96" t="s">
        <v>58</v>
      </c>
      <c r="B9" s="127">
        <f t="shared" si="0"/>
        <v>236</v>
      </c>
      <c r="C9" s="163">
        <f t="shared" si="10"/>
        <v>236</v>
      </c>
      <c r="D9" s="97">
        <v>1</v>
      </c>
      <c r="E9" s="98"/>
      <c r="F9" s="99"/>
      <c r="G9" s="79">
        <v>1</v>
      </c>
      <c r="H9" s="100"/>
      <c r="I9" s="101"/>
      <c r="J9" s="101">
        <v>2</v>
      </c>
      <c r="K9" s="100"/>
      <c r="L9" s="79"/>
      <c r="M9" s="79">
        <v>13</v>
      </c>
      <c r="N9" s="79">
        <v>1</v>
      </c>
      <c r="O9" s="79"/>
      <c r="P9" s="101"/>
      <c r="Q9" s="97">
        <v>6</v>
      </c>
      <c r="R9" s="79">
        <v>3</v>
      </c>
      <c r="S9" s="79"/>
      <c r="T9" s="79"/>
      <c r="U9" s="326">
        <f>5-1</f>
        <v>4</v>
      </c>
      <c r="V9" s="79">
        <v>1</v>
      </c>
      <c r="W9" s="79">
        <v>12</v>
      </c>
      <c r="X9" s="79">
        <v>3</v>
      </c>
      <c r="Y9" s="79">
        <v>1</v>
      </c>
      <c r="Z9" s="79">
        <v>1</v>
      </c>
      <c r="AA9" s="97">
        <v>10</v>
      </c>
      <c r="AB9" s="79">
        <v>1</v>
      </c>
      <c r="AC9" s="79"/>
      <c r="AD9" s="79">
        <v>1</v>
      </c>
      <c r="AE9" s="79">
        <v>1</v>
      </c>
      <c r="AF9" s="79">
        <v>3</v>
      </c>
      <c r="AG9" s="79">
        <v>1</v>
      </c>
      <c r="AH9" s="79"/>
      <c r="AI9" s="79"/>
      <c r="AJ9" s="79"/>
      <c r="AK9" s="79"/>
      <c r="AL9" s="326">
        <f>17+11</f>
        <v>28</v>
      </c>
      <c r="AM9" s="101">
        <v>3</v>
      </c>
      <c r="AN9" s="100">
        <v>12</v>
      </c>
      <c r="AO9" s="79">
        <v>7</v>
      </c>
      <c r="AP9" s="79"/>
      <c r="AQ9" s="79">
        <v>1</v>
      </c>
      <c r="AR9" s="326">
        <f>23+11+1</f>
        <v>35</v>
      </c>
      <c r="AS9" s="294"/>
      <c r="AT9" s="294"/>
      <c r="AU9" s="294">
        <v>7</v>
      </c>
      <c r="AV9" s="297">
        <v>4</v>
      </c>
      <c r="AW9" s="295">
        <v>1</v>
      </c>
      <c r="AX9" s="294">
        <v>22</v>
      </c>
      <c r="AY9" s="294"/>
      <c r="AZ9" s="294">
        <f>10+2+1</f>
        <v>13</v>
      </c>
      <c r="BA9" s="294">
        <v>20</v>
      </c>
      <c r="BB9" s="297"/>
      <c r="BC9" s="295"/>
      <c r="BD9" s="297"/>
      <c r="BE9" s="295"/>
      <c r="BF9" s="345">
        <f>4-1</f>
        <v>3</v>
      </c>
      <c r="BG9" s="294">
        <v>11</v>
      </c>
      <c r="BH9" s="294">
        <f>2-1+1</f>
        <v>2</v>
      </c>
      <c r="BI9" s="294"/>
      <c r="BJ9" s="294"/>
      <c r="BK9" s="297">
        <v>1</v>
      </c>
      <c r="BL9" s="298"/>
      <c r="BM9" s="299"/>
      <c r="BN9" s="300"/>
      <c r="BO9" s="328" t="s">
        <v>266</v>
      </c>
    </row>
    <row r="10" spans="1:92" s="87" customFormat="1" ht="39.950000000000003" customHeight="1" x14ac:dyDescent="0.15">
      <c r="A10" s="88" t="s">
        <v>222</v>
      </c>
      <c r="B10" s="145">
        <f t="shared" si="0"/>
        <v>34</v>
      </c>
      <c r="C10" s="162">
        <f t="shared" si="10"/>
        <v>34</v>
      </c>
      <c r="D10" s="90"/>
      <c r="E10" s="91"/>
      <c r="F10" s="92"/>
      <c r="G10" s="93"/>
      <c r="H10" s="94">
        <v>1</v>
      </c>
      <c r="I10" s="95"/>
      <c r="J10" s="95"/>
      <c r="K10" s="94">
        <v>2</v>
      </c>
      <c r="L10" s="93">
        <f>0+1</f>
        <v>1</v>
      </c>
      <c r="M10" s="93"/>
      <c r="N10" s="93"/>
      <c r="O10" s="93">
        <v>1</v>
      </c>
      <c r="P10" s="95"/>
      <c r="Q10" s="90">
        <f>3-1</f>
        <v>2</v>
      </c>
      <c r="R10" s="93"/>
      <c r="S10" s="93"/>
      <c r="T10" s="93"/>
      <c r="U10" s="93"/>
      <c r="V10" s="93"/>
      <c r="W10" s="93"/>
      <c r="X10" s="93"/>
      <c r="Y10" s="93"/>
      <c r="Z10" s="93"/>
      <c r="AA10" s="90">
        <v>5</v>
      </c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5"/>
      <c r="AN10" s="94"/>
      <c r="AO10" s="90">
        <f>3-1</f>
        <v>2</v>
      </c>
      <c r="AP10" s="93"/>
      <c r="AQ10" s="93"/>
      <c r="AR10" s="93"/>
      <c r="AS10" s="299"/>
      <c r="AT10" s="299"/>
      <c r="AU10" s="299"/>
      <c r="AV10" s="302"/>
      <c r="AW10" s="301">
        <v>3</v>
      </c>
      <c r="AX10" s="299"/>
      <c r="AY10" s="299"/>
      <c r="AZ10" s="299"/>
      <c r="BA10" s="299">
        <v>1</v>
      </c>
      <c r="BB10" s="302"/>
      <c r="BC10" s="301">
        <v>3</v>
      </c>
      <c r="BD10" s="302">
        <v>12</v>
      </c>
      <c r="BE10" s="301"/>
      <c r="BF10" s="299"/>
      <c r="BG10" s="299"/>
      <c r="BH10" s="299"/>
      <c r="BI10" s="299"/>
      <c r="BJ10" s="299">
        <v>1</v>
      </c>
      <c r="BK10" s="302"/>
      <c r="BL10" s="303"/>
      <c r="BM10" s="299"/>
      <c r="BN10" s="300"/>
      <c r="BO10" s="495"/>
      <c r="BP10" s="477"/>
      <c r="BQ10" s="477"/>
      <c r="BR10" s="477"/>
      <c r="BS10" s="477"/>
      <c r="BT10" s="477"/>
      <c r="BU10" s="477"/>
      <c r="BV10" s="477"/>
      <c r="BW10" s="477"/>
      <c r="BX10" s="477"/>
      <c r="BY10" s="477"/>
      <c r="BZ10" s="477"/>
    </row>
    <row r="11" spans="1:92" s="87" customFormat="1" ht="39.950000000000003" customHeight="1" x14ac:dyDescent="0.15">
      <c r="A11" s="102" t="s">
        <v>59</v>
      </c>
      <c r="B11" s="128">
        <f t="shared" si="0"/>
        <v>842</v>
      </c>
      <c r="C11" s="164">
        <f t="shared" si="10"/>
        <v>842</v>
      </c>
      <c r="D11" s="103">
        <f>SUM(D12:D16)</f>
        <v>3</v>
      </c>
      <c r="E11" s="104">
        <f t="shared" ref="E11" si="11">SUM(E12:E16)</f>
        <v>0</v>
      </c>
      <c r="F11" s="105">
        <f>SUM(F12:F16)</f>
        <v>6</v>
      </c>
      <c r="G11" s="106"/>
      <c r="H11" s="107"/>
      <c r="I11" s="106">
        <f>SUM(I12:I16)</f>
        <v>3</v>
      </c>
      <c r="J11" s="108"/>
      <c r="K11" s="107"/>
      <c r="L11" s="106">
        <f>SUM(L12:L16)</f>
        <v>35</v>
      </c>
      <c r="M11" s="106"/>
      <c r="N11" s="106"/>
      <c r="O11" s="106"/>
      <c r="P11" s="108"/>
      <c r="Q11" s="103">
        <f>SUM(Q12:Q16)</f>
        <v>155</v>
      </c>
      <c r="R11" s="106"/>
      <c r="S11" s="106">
        <f>SUM(S12:S16)</f>
        <v>11</v>
      </c>
      <c r="T11" s="106"/>
      <c r="U11" s="106">
        <f>SUM(U12:U16)</f>
        <v>32</v>
      </c>
      <c r="V11" s="106"/>
      <c r="W11" s="106"/>
      <c r="X11" s="106"/>
      <c r="Y11" s="106"/>
      <c r="Z11" s="106">
        <v>5</v>
      </c>
      <c r="AA11" s="103">
        <f>SUM(AA12:AA16)</f>
        <v>118</v>
      </c>
      <c r="AB11" s="106">
        <f t="shared" ref="AB11:AD11" si="12">SUM(AB12:AB16)</f>
        <v>5</v>
      </c>
      <c r="AC11" s="106">
        <f t="shared" si="12"/>
        <v>2</v>
      </c>
      <c r="AD11" s="106">
        <f t="shared" si="12"/>
        <v>5</v>
      </c>
      <c r="AE11" s="106"/>
      <c r="AF11" s="106">
        <f>SUM(AF12:AF16)</f>
        <v>5</v>
      </c>
      <c r="AG11" s="106"/>
      <c r="AH11" s="106">
        <f>SUM(AH12:AH16)</f>
        <v>10</v>
      </c>
      <c r="AI11" s="106">
        <f>SUM(AI12:AI16)</f>
        <v>1</v>
      </c>
      <c r="AJ11" s="106">
        <f>SUM(AJ12:AJ16)</f>
        <v>3</v>
      </c>
      <c r="AK11" s="106"/>
      <c r="AL11" s="106">
        <f>SUM(AL12:AL16)</f>
        <v>32</v>
      </c>
      <c r="AM11" s="108"/>
      <c r="AN11" s="107"/>
      <c r="AO11" s="106">
        <f>SUM(AO12:AO16)</f>
        <v>193</v>
      </c>
      <c r="AP11" s="109">
        <f t="shared" ref="AP11:AR11" si="13">SUM(AP12:AP16)</f>
        <v>2</v>
      </c>
      <c r="AQ11" s="109"/>
      <c r="AR11" s="109">
        <f t="shared" si="13"/>
        <v>0</v>
      </c>
      <c r="AS11" s="279">
        <f>SUM(AS12:AS16)</f>
        <v>6</v>
      </c>
      <c r="AT11" s="276">
        <f>SUM(AT12:AT16)</f>
        <v>2</v>
      </c>
      <c r="AU11" s="279">
        <f t="shared" ref="AU11" si="14">SUM(AU12:AU16)</f>
        <v>6</v>
      </c>
      <c r="AV11" s="278"/>
      <c r="AW11" s="304">
        <f>SUM(AW12:AW16)</f>
        <v>140</v>
      </c>
      <c r="AX11" s="305">
        <f>SUM(AX12:AX16)</f>
        <v>32</v>
      </c>
      <c r="AY11" s="276">
        <f>SUM(AY12:AY16)</f>
        <v>1</v>
      </c>
      <c r="AZ11" s="279">
        <f>SUM(AZ12:AZ16)</f>
        <v>5</v>
      </c>
      <c r="BA11" s="279">
        <f t="shared" ref="BA11" si="15">SUM(BA12:BA16)</f>
        <v>16</v>
      </c>
      <c r="BB11" s="278"/>
      <c r="BC11" s="280"/>
      <c r="BD11" s="278"/>
      <c r="BE11" s="281">
        <f>SUM(BE12:BE16)</f>
        <v>1</v>
      </c>
      <c r="BF11" s="276"/>
      <c r="BG11" s="276"/>
      <c r="BH11" s="279">
        <f t="shared" ref="BH11:BK11" si="16">SUM(BH12:BH16)</f>
        <v>0</v>
      </c>
      <c r="BI11" s="276">
        <f t="shared" si="16"/>
        <v>1</v>
      </c>
      <c r="BJ11" s="279">
        <f t="shared" si="16"/>
        <v>3</v>
      </c>
      <c r="BK11" s="278">
        <f t="shared" si="16"/>
        <v>3</v>
      </c>
      <c r="BL11" s="306"/>
      <c r="BM11" s="305"/>
      <c r="BN11" s="307"/>
    </row>
    <row r="12" spans="1:92" s="87" customFormat="1" ht="39.950000000000003" customHeight="1" x14ac:dyDescent="0.15">
      <c r="A12" s="110" t="s">
        <v>60</v>
      </c>
      <c r="B12" s="116">
        <f t="shared" si="0"/>
        <v>213</v>
      </c>
      <c r="C12" s="165">
        <f t="shared" si="10"/>
        <v>213</v>
      </c>
      <c r="D12" s="111">
        <v>1</v>
      </c>
      <c r="E12" s="112"/>
      <c r="F12" s="113">
        <v>2</v>
      </c>
      <c r="G12" s="109"/>
      <c r="H12" s="114"/>
      <c r="I12" s="115">
        <v>1</v>
      </c>
      <c r="J12" s="115"/>
      <c r="K12" s="114"/>
      <c r="L12" s="109">
        <v>6</v>
      </c>
      <c r="M12" s="109"/>
      <c r="N12" s="109"/>
      <c r="O12" s="109"/>
      <c r="P12" s="115"/>
      <c r="Q12" s="111">
        <v>36</v>
      </c>
      <c r="R12" s="109"/>
      <c r="S12" s="109">
        <v>3</v>
      </c>
      <c r="T12" s="109"/>
      <c r="U12" s="109">
        <f>0+7</f>
        <v>7</v>
      </c>
      <c r="V12" s="109"/>
      <c r="W12" s="279"/>
      <c r="X12" s="279"/>
      <c r="Y12" s="279"/>
      <c r="Z12" s="279">
        <v>1</v>
      </c>
      <c r="AA12" s="286">
        <v>30</v>
      </c>
      <c r="AB12" s="279">
        <v>1</v>
      </c>
      <c r="AC12" s="279"/>
      <c r="AD12" s="279">
        <v>1</v>
      </c>
      <c r="AE12" s="279"/>
      <c r="AF12" s="279">
        <v>1</v>
      </c>
      <c r="AG12" s="279"/>
      <c r="AH12" s="279">
        <v>4</v>
      </c>
      <c r="AI12" s="279">
        <v>1</v>
      </c>
      <c r="AJ12" s="279">
        <v>1</v>
      </c>
      <c r="AK12" s="279"/>
      <c r="AL12" s="279">
        <f>0+6+1</f>
        <v>7</v>
      </c>
      <c r="AM12" s="284"/>
      <c r="AN12" s="114"/>
      <c r="AO12" s="109">
        <f>49+2</f>
        <v>51</v>
      </c>
      <c r="AP12" s="109">
        <f>1+1</f>
        <v>2</v>
      </c>
      <c r="AQ12" s="109"/>
      <c r="AR12" s="109"/>
      <c r="AS12" s="109"/>
      <c r="AT12" s="109"/>
      <c r="AU12" s="109">
        <v>0</v>
      </c>
      <c r="AV12" s="114"/>
      <c r="AW12" s="106">
        <v>41</v>
      </c>
      <c r="AX12" s="279">
        <f>0+6+1</f>
        <v>7</v>
      </c>
      <c r="AY12" s="279">
        <v>1</v>
      </c>
      <c r="AZ12" s="279">
        <f>3-2</f>
        <v>1</v>
      </c>
      <c r="BA12" s="279">
        <v>5</v>
      </c>
      <c r="BB12" s="285"/>
      <c r="BC12" s="286"/>
      <c r="BD12" s="285"/>
      <c r="BE12" s="279">
        <f>1-1</f>
        <v>0</v>
      </c>
      <c r="BF12" s="279"/>
      <c r="BG12" s="279"/>
      <c r="BH12" s="279"/>
      <c r="BI12" s="279"/>
      <c r="BJ12" s="279">
        <v>1</v>
      </c>
      <c r="BK12" s="285">
        <v>1</v>
      </c>
      <c r="BL12" s="308"/>
      <c r="BM12" s="279"/>
      <c r="BN12" s="284"/>
      <c r="BO12" s="473"/>
      <c r="BP12" s="473"/>
      <c r="BQ12" s="473"/>
      <c r="BR12" s="473"/>
      <c r="BS12" s="473"/>
      <c r="BT12" s="473"/>
      <c r="BU12" s="473"/>
      <c r="BV12" s="473"/>
      <c r="BW12" s="473"/>
      <c r="BX12" s="473"/>
      <c r="BY12" s="473"/>
      <c r="BZ12" s="473"/>
      <c r="CA12" s="473"/>
      <c r="CB12" s="473"/>
      <c r="CC12" s="473"/>
      <c r="CD12" s="473"/>
      <c r="CE12" s="473"/>
      <c r="CF12" s="473"/>
      <c r="CG12" s="473"/>
      <c r="CH12" s="473"/>
      <c r="CI12" s="473"/>
      <c r="CJ12" s="473"/>
      <c r="CK12" s="473"/>
      <c r="CL12" s="473"/>
      <c r="CM12" s="473"/>
      <c r="CN12" s="473"/>
    </row>
    <row r="13" spans="1:92" s="87" customFormat="1" ht="39.950000000000003" customHeight="1" x14ac:dyDescent="0.15">
      <c r="A13" s="110" t="s">
        <v>61</v>
      </c>
      <c r="B13" s="116">
        <f t="shared" si="0"/>
        <v>203</v>
      </c>
      <c r="C13" s="165">
        <f t="shared" si="10"/>
        <v>203</v>
      </c>
      <c r="D13" s="111">
        <v>1</v>
      </c>
      <c r="E13" s="112"/>
      <c r="F13" s="113">
        <v>1</v>
      </c>
      <c r="G13" s="109"/>
      <c r="H13" s="114"/>
      <c r="I13" s="115">
        <v>1</v>
      </c>
      <c r="J13" s="115"/>
      <c r="K13" s="114"/>
      <c r="L13" s="109">
        <v>8</v>
      </c>
      <c r="M13" s="109"/>
      <c r="N13" s="109"/>
      <c r="O13" s="109"/>
      <c r="P13" s="115"/>
      <c r="Q13" s="111">
        <v>36</v>
      </c>
      <c r="R13" s="109"/>
      <c r="S13" s="109">
        <v>2</v>
      </c>
      <c r="T13" s="109"/>
      <c r="U13" s="109">
        <f>0+8</f>
        <v>8</v>
      </c>
      <c r="V13" s="109"/>
      <c r="W13" s="109"/>
      <c r="X13" s="279"/>
      <c r="Y13" s="279"/>
      <c r="Z13" s="279">
        <v>1</v>
      </c>
      <c r="AA13" s="286">
        <v>26</v>
      </c>
      <c r="AB13" s="279">
        <v>1</v>
      </c>
      <c r="AC13" s="279"/>
      <c r="AD13" s="279">
        <v>1</v>
      </c>
      <c r="AE13" s="279"/>
      <c r="AF13" s="279">
        <v>1</v>
      </c>
      <c r="AG13" s="279"/>
      <c r="AH13" s="279">
        <v>4</v>
      </c>
      <c r="AI13" s="279"/>
      <c r="AJ13" s="279">
        <v>1</v>
      </c>
      <c r="AK13" s="279"/>
      <c r="AL13" s="279">
        <f>0+7+1</f>
        <v>8</v>
      </c>
      <c r="AM13" s="284"/>
      <c r="AN13" s="114"/>
      <c r="AO13" s="109">
        <f>46+1</f>
        <v>47</v>
      </c>
      <c r="AP13" s="109"/>
      <c r="AQ13" s="109"/>
      <c r="AR13" s="109"/>
      <c r="AS13" s="109">
        <v>4</v>
      </c>
      <c r="AT13" s="109"/>
      <c r="AU13" s="109">
        <v>2</v>
      </c>
      <c r="AV13" s="114"/>
      <c r="AW13" s="106">
        <f>32+1</f>
        <v>33</v>
      </c>
      <c r="AX13" s="279">
        <f>0+7+1</f>
        <v>8</v>
      </c>
      <c r="AY13" s="279"/>
      <c r="AZ13" s="279">
        <v>1</v>
      </c>
      <c r="BA13" s="279">
        <v>4</v>
      </c>
      <c r="BB13" s="285"/>
      <c r="BC13" s="286"/>
      <c r="BD13" s="285"/>
      <c r="BE13" s="286"/>
      <c r="BF13" s="279"/>
      <c r="BG13" s="279"/>
      <c r="BH13" s="279"/>
      <c r="BI13" s="279"/>
      <c r="BJ13" s="279">
        <v>2</v>
      </c>
      <c r="BK13" s="285">
        <f>3-1</f>
        <v>2</v>
      </c>
      <c r="BL13" s="308"/>
      <c r="BM13" s="279"/>
      <c r="BN13" s="284"/>
      <c r="BO13" s="493"/>
      <c r="BP13" s="470"/>
      <c r="BQ13" s="470"/>
      <c r="BR13" s="470"/>
      <c r="BS13" s="470"/>
      <c r="BT13" s="470"/>
      <c r="BU13" s="470"/>
      <c r="BV13" s="470"/>
      <c r="BW13" s="470"/>
      <c r="BX13" s="470"/>
      <c r="BY13" s="470"/>
      <c r="BZ13" s="470"/>
      <c r="CA13" s="470"/>
      <c r="CB13" s="470"/>
      <c r="CC13" s="470"/>
      <c r="CD13" s="470"/>
      <c r="CE13" s="470"/>
      <c r="CF13" s="470"/>
      <c r="CG13" s="470"/>
      <c r="CH13" s="470"/>
      <c r="CI13" s="470"/>
      <c r="CJ13" s="470"/>
      <c r="CK13" s="470"/>
    </row>
    <row r="14" spans="1:92" s="87" customFormat="1" ht="39.950000000000003" customHeight="1" x14ac:dyDescent="0.15">
      <c r="A14" s="110" t="s">
        <v>62</v>
      </c>
      <c r="B14" s="116">
        <f t="shared" si="0"/>
        <v>166</v>
      </c>
      <c r="C14" s="165">
        <f t="shared" si="10"/>
        <v>166</v>
      </c>
      <c r="D14" s="111">
        <v>1</v>
      </c>
      <c r="E14" s="112"/>
      <c r="F14" s="113">
        <v>1</v>
      </c>
      <c r="G14" s="109"/>
      <c r="H14" s="114"/>
      <c r="I14" s="115">
        <v>1</v>
      </c>
      <c r="J14" s="115"/>
      <c r="K14" s="114"/>
      <c r="L14" s="109">
        <v>6</v>
      </c>
      <c r="M14" s="109"/>
      <c r="N14" s="109"/>
      <c r="O14" s="109"/>
      <c r="P14" s="115"/>
      <c r="Q14" s="111">
        <v>33</v>
      </c>
      <c r="R14" s="109"/>
      <c r="S14" s="109">
        <v>2</v>
      </c>
      <c r="T14" s="109"/>
      <c r="U14" s="109">
        <f>0+6</f>
        <v>6</v>
      </c>
      <c r="V14" s="109"/>
      <c r="W14" s="109"/>
      <c r="X14" s="279"/>
      <c r="Y14" s="279"/>
      <c r="Z14" s="279">
        <v>1</v>
      </c>
      <c r="AA14" s="286">
        <v>25</v>
      </c>
      <c r="AB14" s="279">
        <v>1</v>
      </c>
      <c r="AC14" s="279"/>
      <c r="AD14" s="279">
        <v>1</v>
      </c>
      <c r="AE14" s="279"/>
      <c r="AF14" s="279">
        <v>1</v>
      </c>
      <c r="AG14" s="279"/>
      <c r="AH14" s="279">
        <v>2</v>
      </c>
      <c r="AI14" s="279"/>
      <c r="AJ14" s="279">
        <v>1</v>
      </c>
      <c r="AK14" s="279"/>
      <c r="AL14" s="279">
        <f>0+5+1</f>
        <v>6</v>
      </c>
      <c r="AM14" s="284"/>
      <c r="AN14" s="114"/>
      <c r="AO14" s="109">
        <f>37+2</f>
        <v>39</v>
      </c>
      <c r="AP14" s="109"/>
      <c r="AQ14" s="109"/>
      <c r="AR14" s="109"/>
      <c r="AS14" s="109"/>
      <c r="AT14" s="109"/>
      <c r="AU14" s="109">
        <v>2</v>
      </c>
      <c r="AV14" s="114"/>
      <c r="AW14" s="111">
        <v>27</v>
      </c>
      <c r="AX14" s="279">
        <f>0+5+1</f>
        <v>6</v>
      </c>
      <c r="AY14" s="279"/>
      <c r="AZ14" s="279">
        <v>0</v>
      </c>
      <c r="BA14" s="279">
        <v>2</v>
      </c>
      <c r="BB14" s="285"/>
      <c r="BC14" s="286"/>
      <c r="BD14" s="285"/>
      <c r="BE14" s="286">
        <v>1</v>
      </c>
      <c r="BF14" s="279"/>
      <c r="BG14" s="279"/>
      <c r="BH14" s="279">
        <f>1-1</f>
        <v>0</v>
      </c>
      <c r="BI14" s="279">
        <v>1</v>
      </c>
      <c r="BJ14" s="279"/>
      <c r="BK14" s="285"/>
      <c r="BL14" s="308"/>
      <c r="BM14" s="279"/>
      <c r="BN14" s="284"/>
      <c r="BO14" s="493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</row>
    <row r="15" spans="1:92" s="87" customFormat="1" ht="39.950000000000003" customHeight="1" x14ac:dyDescent="0.15">
      <c r="A15" s="110" t="s">
        <v>63</v>
      </c>
      <c r="B15" s="116">
        <f t="shared" si="0"/>
        <v>116</v>
      </c>
      <c r="C15" s="165">
        <f t="shared" si="10"/>
        <v>116</v>
      </c>
      <c r="D15" s="111"/>
      <c r="E15" s="112"/>
      <c r="F15" s="113">
        <v>1</v>
      </c>
      <c r="G15" s="109"/>
      <c r="H15" s="114"/>
      <c r="I15" s="115"/>
      <c r="J15" s="115"/>
      <c r="K15" s="114"/>
      <c r="L15" s="109">
        <v>7</v>
      </c>
      <c r="M15" s="109"/>
      <c r="N15" s="109"/>
      <c r="O15" s="109"/>
      <c r="P15" s="115"/>
      <c r="Q15" s="111">
        <v>22</v>
      </c>
      <c r="R15" s="109"/>
      <c r="S15" s="109">
        <v>2</v>
      </c>
      <c r="T15" s="109"/>
      <c r="U15" s="109">
        <f>0+5</f>
        <v>5</v>
      </c>
      <c r="V15" s="109"/>
      <c r="W15" s="109"/>
      <c r="X15" s="279"/>
      <c r="Y15" s="279"/>
      <c r="Z15" s="279">
        <v>1</v>
      </c>
      <c r="AA15" s="286">
        <f>14+1</f>
        <v>15</v>
      </c>
      <c r="AB15" s="279">
        <v>1</v>
      </c>
      <c r="AC15" s="279"/>
      <c r="AD15" s="279">
        <v>1</v>
      </c>
      <c r="AE15" s="279"/>
      <c r="AF15" s="279">
        <v>1</v>
      </c>
      <c r="AG15" s="279"/>
      <c r="AH15" s="279"/>
      <c r="AI15" s="279"/>
      <c r="AJ15" s="279"/>
      <c r="AK15" s="279"/>
      <c r="AL15" s="279">
        <f>0+4+1</f>
        <v>5</v>
      </c>
      <c r="AM15" s="284"/>
      <c r="AN15" s="114"/>
      <c r="AO15" s="109">
        <f>24+2</f>
        <v>26</v>
      </c>
      <c r="AP15" s="109"/>
      <c r="AQ15" s="109"/>
      <c r="AR15" s="109">
        <f>0</f>
        <v>0</v>
      </c>
      <c r="AS15" s="109">
        <v>1</v>
      </c>
      <c r="AT15" s="109"/>
      <c r="AU15" s="109">
        <v>1</v>
      </c>
      <c r="AV15" s="114"/>
      <c r="AW15" s="109">
        <v>18</v>
      </c>
      <c r="AX15" s="279">
        <f>0+4+1</f>
        <v>5</v>
      </c>
      <c r="AY15" s="279"/>
      <c r="AZ15" s="279">
        <v>2</v>
      </c>
      <c r="BA15" s="279">
        <v>2</v>
      </c>
      <c r="BB15" s="285"/>
      <c r="BC15" s="286"/>
      <c r="BD15" s="285"/>
      <c r="BE15" s="286"/>
      <c r="BF15" s="279"/>
      <c r="BG15" s="279"/>
      <c r="BH15" s="279"/>
      <c r="BI15" s="279"/>
      <c r="BJ15" s="279"/>
      <c r="BK15" s="285"/>
      <c r="BL15" s="308"/>
      <c r="BM15" s="279"/>
      <c r="BN15" s="284"/>
      <c r="BO15" s="376"/>
      <c r="BP15" s="469"/>
      <c r="BQ15" s="469"/>
      <c r="BR15" s="469"/>
      <c r="BS15" s="469"/>
      <c r="BT15" s="469"/>
      <c r="BU15" s="469"/>
      <c r="BV15" s="469"/>
      <c r="BW15" s="469"/>
      <c r="BX15" s="469"/>
      <c r="BY15" s="469"/>
      <c r="BZ15" s="469"/>
      <c r="CA15" s="469"/>
    </row>
    <row r="16" spans="1:92" s="87" customFormat="1" ht="39.950000000000003" customHeight="1" x14ac:dyDescent="0.15">
      <c r="A16" s="172" t="s">
        <v>64</v>
      </c>
      <c r="B16" s="173">
        <f>C16</f>
        <v>144</v>
      </c>
      <c r="C16" s="174">
        <f t="shared" si="10"/>
        <v>144</v>
      </c>
      <c r="D16" s="175"/>
      <c r="E16" s="112">
        <f>1-1</f>
        <v>0</v>
      </c>
      <c r="F16" s="113">
        <f>0+1</f>
        <v>1</v>
      </c>
      <c r="G16" s="176"/>
      <c r="H16" s="177"/>
      <c r="I16" s="178"/>
      <c r="J16" s="178"/>
      <c r="K16" s="177"/>
      <c r="L16" s="176">
        <v>8</v>
      </c>
      <c r="M16" s="176"/>
      <c r="N16" s="176"/>
      <c r="O16" s="176"/>
      <c r="P16" s="178"/>
      <c r="Q16" s="175">
        <v>28</v>
      </c>
      <c r="R16" s="176"/>
      <c r="S16" s="176">
        <v>2</v>
      </c>
      <c r="T16" s="176"/>
      <c r="U16" s="109">
        <f>0+6</f>
        <v>6</v>
      </c>
      <c r="V16" s="176"/>
      <c r="W16" s="176"/>
      <c r="X16" s="309"/>
      <c r="Y16" s="309"/>
      <c r="Z16" s="309">
        <v>1</v>
      </c>
      <c r="AA16" s="310">
        <v>22</v>
      </c>
      <c r="AB16" s="309">
        <v>1</v>
      </c>
      <c r="AC16" s="309">
        <v>2</v>
      </c>
      <c r="AD16" s="309">
        <v>1</v>
      </c>
      <c r="AE16" s="309"/>
      <c r="AF16" s="309">
        <v>1</v>
      </c>
      <c r="AG16" s="309"/>
      <c r="AH16" s="309"/>
      <c r="AI16" s="309"/>
      <c r="AJ16" s="309"/>
      <c r="AK16" s="309"/>
      <c r="AL16" s="279">
        <f>0+5+1</f>
        <v>6</v>
      </c>
      <c r="AM16" s="311"/>
      <c r="AN16" s="177"/>
      <c r="AO16" s="109">
        <f>28+2</f>
        <v>30</v>
      </c>
      <c r="AP16" s="176"/>
      <c r="AQ16" s="176"/>
      <c r="AR16" s="176">
        <f>0</f>
        <v>0</v>
      </c>
      <c r="AS16" s="176">
        <v>1</v>
      </c>
      <c r="AT16" s="176">
        <v>2</v>
      </c>
      <c r="AU16" s="176">
        <v>1</v>
      </c>
      <c r="AV16" s="177"/>
      <c r="AW16" s="175">
        <v>21</v>
      </c>
      <c r="AX16" s="279">
        <f>0+5+1</f>
        <v>6</v>
      </c>
      <c r="AY16" s="309"/>
      <c r="AZ16" s="309">
        <v>1</v>
      </c>
      <c r="BA16" s="309">
        <v>3</v>
      </c>
      <c r="BB16" s="312"/>
      <c r="BC16" s="310"/>
      <c r="BD16" s="312"/>
      <c r="BE16" s="310">
        <v>0</v>
      </c>
      <c r="BF16" s="309"/>
      <c r="BG16" s="309"/>
      <c r="BH16" s="309"/>
      <c r="BI16" s="309"/>
      <c r="BJ16" s="309">
        <v>0</v>
      </c>
      <c r="BK16" s="312"/>
      <c r="BL16" s="313"/>
      <c r="BM16" s="288"/>
      <c r="BN16" s="289"/>
      <c r="BO16" s="493"/>
      <c r="BP16" s="470"/>
      <c r="BQ16" s="470"/>
      <c r="BR16" s="470"/>
      <c r="BS16" s="470"/>
      <c r="BT16" s="470"/>
      <c r="BU16" s="470"/>
      <c r="BV16" s="470"/>
      <c r="BW16" s="470"/>
      <c r="BX16" s="470"/>
      <c r="BY16" s="470"/>
      <c r="BZ16" s="470"/>
    </row>
    <row r="17" spans="1:66" ht="39.950000000000003" customHeight="1" x14ac:dyDescent="0.15">
      <c r="A17" s="218" t="s">
        <v>256</v>
      </c>
      <c r="B17" s="208">
        <f>C17</f>
        <v>24</v>
      </c>
      <c r="C17" s="192">
        <f>SUM(D17:BN17)</f>
        <v>24</v>
      </c>
      <c r="D17" s="187"/>
      <c r="E17" s="187"/>
      <c r="F17" s="191">
        <f>SUM(F18:F19)</f>
        <v>2</v>
      </c>
      <c r="G17" s="189"/>
      <c r="H17" s="190"/>
      <c r="I17" s="188"/>
      <c r="J17" s="189"/>
      <c r="K17" s="190"/>
      <c r="L17" s="191">
        <f>SUM(L18:L19)</f>
        <v>4</v>
      </c>
      <c r="M17" s="189"/>
      <c r="N17" s="189"/>
      <c r="O17" s="189"/>
      <c r="P17" s="190"/>
      <c r="Q17" s="191"/>
      <c r="R17" s="189"/>
      <c r="S17" s="189"/>
      <c r="T17" s="194">
        <f>SUM(T18:T19)</f>
        <v>6</v>
      </c>
      <c r="U17" s="189"/>
      <c r="V17" s="189"/>
      <c r="W17" s="189"/>
      <c r="X17" s="314"/>
      <c r="Y17" s="314"/>
      <c r="Z17" s="315"/>
      <c r="AA17" s="304">
        <f>SUM(AA18:AA19)</f>
        <v>4</v>
      </c>
      <c r="AB17" s="314"/>
      <c r="AC17" s="314"/>
      <c r="AD17" s="314"/>
      <c r="AE17" s="314"/>
      <c r="AF17" s="314"/>
      <c r="AG17" s="314"/>
      <c r="AH17" s="314"/>
      <c r="AI17" s="314"/>
      <c r="AJ17" s="314"/>
      <c r="AK17" s="314"/>
      <c r="AL17" s="314"/>
      <c r="AM17" s="314"/>
      <c r="AN17" s="190"/>
      <c r="AO17" s="191">
        <f>SUM(AO18:AO19)</f>
        <v>2</v>
      </c>
      <c r="AP17" s="189"/>
      <c r="AQ17" s="189"/>
      <c r="AR17" s="189"/>
      <c r="AS17" s="189"/>
      <c r="AT17" s="189"/>
      <c r="AU17" s="189"/>
      <c r="AV17" s="190"/>
      <c r="AW17" s="188"/>
      <c r="AX17" s="314"/>
      <c r="AY17" s="314"/>
      <c r="AZ17" s="314"/>
      <c r="BA17" s="314"/>
      <c r="BB17" s="316"/>
      <c r="BC17" s="318"/>
      <c r="BD17" s="319">
        <f>SUM(BD18:BD19)</f>
        <v>2</v>
      </c>
      <c r="BE17" s="317"/>
      <c r="BF17" s="314"/>
      <c r="BG17" s="314"/>
      <c r="BH17" s="314"/>
      <c r="BI17" s="314"/>
      <c r="BJ17" s="314"/>
      <c r="BK17" s="316"/>
      <c r="BL17" s="320"/>
      <c r="BM17" s="305">
        <f t="shared" ref="BM17:BN17" si="17">SUM(BM18:BM19)</f>
        <v>2</v>
      </c>
      <c r="BN17" s="319">
        <f t="shared" si="17"/>
        <v>2</v>
      </c>
    </row>
    <row r="18" spans="1:66" ht="39.950000000000003" customHeight="1" x14ac:dyDescent="0.15">
      <c r="A18" s="110" t="s">
        <v>253</v>
      </c>
      <c r="B18" s="116">
        <f t="shared" ref="B18:B19" si="18">C18</f>
        <v>12</v>
      </c>
      <c r="C18" s="174">
        <f>SUM(D18:BN18)</f>
        <v>12</v>
      </c>
      <c r="D18" s="183"/>
      <c r="E18" s="183"/>
      <c r="F18" s="109">
        <f>0+1</f>
        <v>1</v>
      </c>
      <c r="G18" s="109"/>
      <c r="H18" s="114"/>
      <c r="I18" s="181"/>
      <c r="J18" s="179"/>
      <c r="K18" s="185"/>
      <c r="L18" s="109">
        <f>0+2</f>
        <v>2</v>
      </c>
      <c r="M18" s="109"/>
      <c r="N18" s="109"/>
      <c r="O18" s="179"/>
      <c r="P18" s="185"/>
      <c r="Q18" s="109"/>
      <c r="R18" s="109"/>
      <c r="S18" s="109"/>
      <c r="T18" s="109">
        <f>0+3</f>
        <v>3</v>
      </c>
      <c r="U18" s="179"/>
      <c r="V18" s="179"/>
      <c r="W18" s="179"/>
      <c r="X18" s="279"/>
      <c r="Y18" s="279"/>
      <c r="Z18" s="284"/>
      <c r="AA18" s="286">
        <f>0+2</f>
        <v>2</v>
      </c>
      <c r="AB18" s="279"/>
      <c r="AC18" s="279"/>
      <c r="AD18" s="321"/>
      <c r="AE18" s="321"/>
      <c r="AF18" s="321"/>
      <c r="AG18" s="321"/>
      <c r="AH18" s="321"/>
      <c r="AI18" s="321"/>
      <c r="AJ18" s="321"/>
      <c r="AK18" s="321"/>
      <c r="AL18" s="321"/>
      <c r="AM18" s="321"/>
      <c r="AN18" s="185"/>
      <c r="AO18" s="109">
        <f>0+1</f>
        <v>1</v>
      </c>
      <c r="AP18" s="109"/>
      <c r="AQ18" s="109"/>
      <c r="AR18" s="179"/>
      <c r="AS18" s="179"/>
      <c r="AT18" s="179"/>
      <c r="AU18" s="179"/>
      <c r="AV18" s="185"/>
      <c r="AW18" s="181"/>
      <c r="AX18" s="321"/>
      <c r="AY18" s="321"/>
      <c r="AZ18" s="321"/>
      <c r="BA18" s="321"/>
      <c r="BB18" s="322"/>
      <c r="BC18" s="323"/>
      <c r="BD18" s="285">
        <f>0+1</f>
        <v>1</v>
      </c>
      <c r="BE18" s="323"/>
      <c r="BF18" s="321"/>
      <c r="BG18" s="321"/>
      <c r="BH18" s="321"/>
      <c r="BI18" s="321"/>
      <c r="BJ18" s="321"/>
      <c r="BK18" s="322"/>
      <c r="BL18" s="324"/>
      <c r="BM18" s="279">
        <f t="shared" ref="BM18:BN19" si="19">0+1</f>
        <v>1</v>
      </c>
      <c r="BN18" s="279">
        <f t="shared" si="19"/>
        <v>1</v>
      </c>
    </row>
    <row r="19" spans="1:66" ht="39.950000000000003" customHeight="1" thickBot="1" x14ac:dyDescent="0.2">
      <c r="A19" s="117" t="s">
        <v>254</v>
      </c>
      <c r="B19" s="209">
        <f t="shared" si="18"/>
        <v>12</v>
      </c>
      <c r="C19" s="174">
        <f>SUM(D19:BN19)</f>
        <v>12</v>
      </c>
      <c r="D19" s="184"/>
      <c r="E19" s="184"/>
      <c r="F19" s="176">
        <f>0+1</f>
        <v>1</v>
      </c>
      <c r="G19" s="176"/>
      <c r="H19" s="177"/>
      <c r="I19" s="182"/>
      <c r="J19" s="180"/>
      <c r="K19" s="186"/>
      <c r="L19" s="176">
        <f>0+2</f>
        <v>2</v>
      </c>
      <c r="M19" s="176"/>
      <c r="N19" s="176"/>
      <c r="O19" s="180"/>
      <c r="P19" s="186"/>
      <c r="Q19" s="176"/>
      <c r="R19" s="176"/>
      <c r="S19" s="176"/>
      <c r="T19" s="176">
        <f>0+3</f>
        <v>3</v>
      </c>
      <c r="U19" s="180"/>
      <c r="V19" s="180"/>
      <c r="W19" s="180"/>
      <c r="X19" s="176"/>
      <c r="Y19" s="176"/>
      <c r="Z19" s="178"/>
      <c r="AA19" s="175">
        <f>0+2</f>
        <v>2</v>
      </c>
      <c r="AB19" s="176"/>
      <c r="AC19" s="176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6"/>
      <c r="AO19" s="176">
        <f>0+1</f>
        <v>1</v>
      </c>
      <c r="AP19" s="176"/>
      <c r="AQ19" s="176"/>
      <c r="AR19" s="180"/>
      <c r="AS19" s="180"/>
      <c r="AT19" s="180"/>
      <c r="AU19" s="180"/>
      <c r="AV19" s="186"/>
      <c r="AW19" s="182"/>
      <c r="AX19" s="180"/>
      <c r="AY19" s="180"/>
      <c r="AZ19" s="180"/>
      <c r="BA19" s="180"/>
      <c r="BB19" s="186"/>
      <c r="BC19" s="182"/>
      <c r="BD19" s="177">
        <f>0+1</f>
        <v>1</v>
      </c>
      <c r="BE19" s="182"/>
      <c r="BF19" s="180"/>
      <c r="BG19" s="180"/>
      <c r="BH19" s="180"/>
      <c r="BI19" s="180"/>
      <c r="BJ19" s="180"/>
      <c r="BK19" s="186"/>
      <c r="BL19" s="184"/>
      <c r="BM19" s="176">
        <f t="shared" si="19"/>
        <v>1</v>
      </c>
      <c r="BN19" s="176">
        <f t="shared" si="19"/>
        <v>1</v>
      </c>
    </row>
    <row r="20" spans="1:66" ht="30" customHeight="1" x14ac:dyDescent="0.15"/>
    <row r="21" spans="1:66" ht="30" customHeight="1" x14ac:dyDescent="0.15"/>
    <row r="22" spans="1:66" ht="30" customHeight="1" x14ac:dyDescent="0.15"/>
    <row r="23" spans="1:66" ht="30" customHeight="1" x14ac:dyDescent="0.15"/>
    <row r="24" spans="1:66" ht="30" customHeight="1" x14ac:dyDescent="0.15"/>
    <row r="25" spans="1:66" ht="30" customHeight="1" x14ac:dyDescent="0.15"/>
    <row r="26" spans="1:66" ht="30" customHeight="1" x14ac:dyDescent="0.15"/>
    <row r="27" spans="1:66" ht="30" customHeight="1" x14ac:dyDescent="0.15"/>
  </sheetData>
  <mergeCells count="22">
    <mergeCell ref="BO16:BZ16"/>
    <mergeCell ref="AA5:AN5"/>
    <mergeCell ref="AO5:AV5"/>
    <mergeCell ref="AW5:BB5"/>
    <mergeCell ref="BC5:BD5"/>
    <mergeCell ref="BE5:BK5"/>
    <mergeCell ref="BM5:BN5"/>
    <mergeCell ref="BO10:BZ10"/>
    <mergeCell ref="BO12:CN12"/>
    <mergeCell ref="BO13:CK13"/>
    <mergeCell ref="BO14:CC14"/>
    <mergeCell ref="BO15:CA15"/>
    <mergeCell ref="A2:BL2"/>
    <mergeCell ref="A4:A6"/>
    <mergeCell ref="B4:B6"/>
    <mergeCell ref="C4:BL4"/>
    <mergeCell ref="BM4:BN4"/>
    <mergeCell ref="C5:C6"/>
    <mergeCell ref="F5:H5"/>
    <mergeCell ref="I5:K5"/>
    <mergeCell ref="L5:P5"/>
    <mergeCell ref="Q5:Z5"/>
  </mergeCells>
  <phoneticPr fontId="1" type="noConversion"/>
  <pageMargins left="0.15748031496062992" right="0.15748031496062992" top="0.5" bottom="0.19685039370078741" header="0.97" footer="0.51181102362204722"/>
  <pageSetup paperSize="9" scale="40" orientation="landscape" r:id="rId1"/>
  <headerFooter scaleWithDoc="0"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이름이 지정된 범위</vt:lpstr>
      </vt:variant>
      <vt:variant>
        <vt:i4>9</vt:i4>
      </vt:variant>
    </vt:vector>
  </HeadingPairs>
  <TitlesOfParts>
    <vt:vector size="16" baseType="lpstr">
      <vt:lpstr>(별표1)본청 기준정원</vt:lpstr>
      <vt:lpstr>(별표1의2)본청 운영정원</vt:lpstr>
      <vt:lpstr>(별표2)소속기관(책임운영기관 제외) 기준정원</vt:lpstr>
      <vt:lpstr>(별표2의2)소속기관(책임운영기관 제외) 운영정원</vt:lpstr>
      <vt:lpstr>(별표2의3)소속기관(책임운영기관 제외) 운영정원</vt:lpstr>
      <vt:lpstr>(별표2의4)소속기관(책임운영기관 제외) 운영정원 (2</vt:lpstr>
      <vt:lpstr>(별표2의5)소속기관(책임운영기관 제외) 운영정원</vt:lpstr>
      <vt:lpstr>'(별표1)본청 기준정원'!Print_Area</vt:lpstr>
      <vt:lpstr>'(별표1의2)본청 운영정원'!Print_Area</vt:lpstr>
      <vt:lpstr>'(별표2)소속기관(책임운영기관 제외) 기준정원'!Print_Area</vt:lpstr>
      <vt:lpstr>'(별표2의2)소속기관(책임운영기관 제외) 운영정원'!Print_Area</vt:lpstr>
      <vt:lpstr>'(별표2의3)소속기관(책임운영기관 제외) 운영정원'!Print_Area</vt:lpstr>
      <vt:lpstr>'(별표2의4)소속기관(책임운영기관 제외) 운영정원 (2'!Print_Area</vt:lpstr>
      <vt:lpstr>'(별표2의5)소속기관(책임운영기관 제외) 운영정원'!Print_Area</vt:lpstr>
      <vt:lpstr>'(별표1)본청 기준정원'!Print_Titles</vt:lpstr>
      <vt:lpstr>'(별표1의2)본청 운영정원'!Print_Titles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</cp:lastModifiedBy>
  <cp:lastPrinted>2026-03-08T00:58:23Z</cp:lastPrinted>
  <dcterms:created xsi:type="dcterms:W3CDTF">2009-02-05T23:51:51Z</dcterms:created>
  <dcterms:modified xsi:type="dcterms:W3CDTF">2026-07-20T08:18:17Z</dcterms:modified>
</cp:coreProperties>
</file>